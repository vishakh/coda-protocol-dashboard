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verma/Desktop/"/>
    </mc:Choice>
  </mc:AlternateContent>
  <xr:revisionPtr revIDLastSave="0" documentId="13_ncr:40009_{9723C866-5F61-9E48-9C3D-BC135E845C55}" xr6:coauthVersionLast="45" xr6:coauthVersionMax="45" xr10:uidLastSave="{00000000-0000-0000-0000-000000000000}"/>
  <bookViews>
    <workbookView xWindow="380" yWindow="460" windowWidth="28040" windowHeight="16200" activeTab="5"/>
  </bookViews>
  <sheets>
    <sheet name="coda_transactions" sheetId="1" r:id="rId1"/>
    <sheet name="Pivot Tables" sheetId="5" r:id="rId2"/>
    <sheet name="Chart (split by amount transfer" sheetId="10" r:id="rId3"/>
    <sheet name="Chart2 (% split by fees0" sheetId="8" r:id="rId4"/>
    <sheet name="sender accounts" sheetId="11" r:id="rId5"/>
    <sheet name="Receiver accounts" sheetId="12" r:id="rId6"/>
  </sheets>
  <definedNames>
    <definedName name="_xlnm._FilterDatabase" localSheetId="0" hidden="1">coda_transactions!$A$1:$F$1006</definedName>
  </definedNames>
  <calcPr calcId="191029"/>
  <pivotCaches>
    <pivotCache cacheId="12" r:id="rId7"/>
    <pivotCache cacheId="2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5" l="1"/>
  <c r="H16" i="5"/>
  <c r="H15" i="5"/>
  <c r="H14" i="5"/>
  <c r="H13" i="5"/>
  <c r="H12" i="5"/>
  <c r="H11" i="5"/>
  <c r="H10" i="5"/>
  <c r="H9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17" i="5"/>
  <c r="J16" i="5"/>
  <c r="J15" i="5"/>
  <c r="J14" i="5"/>
  <c r="J13" i="5"/>
  <c r="J12" i="5"/>
  <c r="J11" i="5"/>
  <c r="J10" i="5"/>
  <c r="J9" i="5"/>
  <c r="I17" i="5"/>
  <c r="I16" i="5"/>
  <c r="I15" i="5"/>
  <c r="I14" i="5"/>
  <c r="I13" i="5"/>
  <c r="I12" i="5"/>
  <c r="I11" i="5"/>
  <c r="I10" i="5"/>
  <c r="I9" i="5"/>
  <c r="G44" i="5"/>
  <c r="F44" i="5"/>
  <c r="G18" i="5"/>
  <c r="F18" i="5"/>
  <c r="E34" i="5"/>
  <c r="E35" i="5" s="1"/>
  <c r="E36" i="5" s="1"/>
  <c r="E37" i="5" s="1"/>
  <c r="E38" i="5" s="1"/>
  <c r="E39" i="5" s="1"/>
  <c r="E40" i="5" s="1"/>
  <c r="E41" i="5" s="1"/>
  <c r="E42" i="5" s="1"/>
  <c r="E43" i="5" s="1"/>
  <c r="E26" i="5"/>
  <c r="E27" i="5" s="1"/>
  <c r="E28" i="5" s="1"/>
  <c r="E29" i="5" s="1"/>
  <c r="E30" i="5" s="1"/>
  <c r="E31" i="5" s="1"/>
  <c r="E32" i="5" s="1"/>
  <c r="E33" i="5" s="1"/>
  <c r="E11" i="5"/>
  <c r="E12" i="5" s="1"/>
  <c r="E13" i="5" s="1"/>
  <c r="E14" i="5" s="1"/>
  <c r="E15" i="5" s="1"/>
  <c r="E16" i="5" s="1"/>
  <c r="E17" i="5" s="1"/>
  <c r="E10" i="5"/>
  <c r="G17" i="5"/>
  <c r="F17" i="5"/>
  <c r="G16" i="5"/>
  <c r="F16" i="5"/>
  <c r="G15" i="5"/>
  <c r="F15" i="5"/>
  <c r="G14" i="5"/>
  <c r="F14" i="5"/>
  <c r="G13" i="5"/>
  <c r="F13" i="5"/>
  <c r="G12" i="5"/>
  <c r="F12" i="5"/>
  <c r="G11" i="5"/>
  <c r="F11" i="5"/>
  <c r="G10" i="5"/>
  <c r="F10" i="5"/>
  <c r="G9" i="5"/>
  <c r="F9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G35" i="5"/>
  <c r="F35" i="5"/>
  <c r="G34" i="5"/>
  <c r="F34" i="5"/>
  <c r="G33" i="5"/>
  <c r="F33" i="5"/>
  <c r="G32" i="5"/>
  <c r="F32" i="5"/>
  <c r="G31" i="5"/>
  <c r="F31" i="5"/>
  <c r="G30" i="5"/>
  <c r="F30" i="5"/>
  <c r="G29" i="5"/>
  <c r="F29" i="5"/>
  <c r="G28" i="5"/>
  <c r="F28" i="5"/>
  <c r="G27" i="5"/>
  <c r="F27" i="5"/>
  <c r="G26" i="5"/>
  <c r="F26" i="5"/>
  <c r="G25" i="5"/>
  <c r="F25" i="5"/>
  <c r="M4" i="5"/>
  <c r="M3" i="5"/>
  <c r="M7" i="5"/>
  <c r="M8" i="5"/>
  <c r="M6" i="5"/>
  <c r="M5" i="5"/>
  <c r="M2" i="5"/>
</calcChain>
</file>

<file path=xl/sharedStrings.xml><?xml version="1.0" encoding="utf-8"?>
<sst xmlns="http://schemas.openxmlformats.org/spreadsheetml/2006/main" count="3098" uniqueCount="52">
  <si>
    <t>amount</t>
  </si>
  <si>
    <t>fee</t>
  </si>
  <si>
    <t>to</t>
  </si>
  <si>
    <t>from</t>
  </si>
  <si>
    <t>isDelegation</t>
  </si>
  <si>
    <t>memo</t>
  </si>
  <si>
    <t>tdNDjfWWKZALACQPCLFaTGoAtdDoWEXeNuYRZZWChC4wbSeUb5tVn3UiSsVKt913A7btERefMS4GoEMkQWTs4TsGh21as6ecNP2HKfW6foxmXhwscDKdUEXqZRkCXJvNfz8wBjNXJcHaoK</t>
  </si>
  <si>
    <t>2pn2ah78GsSX48v2GiqShtqAXQQx1qi8aaMj4UU5jMcJATXDmpfnZc</t>
  </si>
  <si>
    <t>tdNEGc6FDPWjwr5uF38BstMCwFK3Z1dERbxgqaYYH8iMRR4CGEWfa6eGLa6jQJaxN989a4wPVeJPML1UucrK4Vr3yL1zfLJZNkf1n6erbKejxuw72EtwtFe7ZtaGqLNo1Gch2UMKXkcYA3</t>
  </si>
  <si>
    <t>tdNDx8htq6yao9NC7SnwGh8KGGs9iwtDy9HfYHk512hH2FVj8EPxczE5dTp4yZ6Dee9S5BP2XbSFcKUeDKFeQNMjraEV4iQQz8xGdsgJHAFgrvU4kPSw34KoJchZQYma3EZKbghwbT2CeU</t>
  </si>
  <si>
    <t>tdNDd77H3KPe1AN6E3YMNr1AYoagnzLKeSvvuh55hLY78SRwMAeoX8CfDjYu7sX9bn67TJCokKtEVWJTXfENZVMNKk3Ubt5KKtA1XpEBh4RMyq5767X12SzfnmF6EGwpdLMp9MxwVKWQau</t>
  </si>
  <si>
    <t>tdNEMETdggLfdoTmQ4smQhDm1ZFHLPAgRxtujM767VuWBiLU3xL1r7QXhYv1gLmw92T9oJLtgN55SyerY9ui8hFx9Z8kHfbA3vYEBSAefGHHSnPGkJJhTKefUZiprFvscNXx2NQNh7B2kV</t>
  </si>
  <si>
    <t>tdNE67M9Snd4KF2Y3xgCQ8Res8LQxckx5xpraAAfa9uv1P6GUy8a6QkXbLnN8PknuKDknEerRCYGujScean4D88v5sJcTqiuqnr2666Csc8QhpUW6MeXq7MgEha7S6ttxB3bY9MMVrDNBB</t>
  </si>
  <si>
    <t>tdNEKfNCEjZ7BSKCps8JRFugxMngpAzFYbLrTCZoggpKNHn5SJzWLxSmpDxRt1fcPUNwjkEMU9KNkEKxERgHfmBSjgDXxoZXNqXkbpGkoPXn6dbpMRmXV9pxzKMyJ6HJheHUVBdF5ViKf8</t>
  </si>
  <si>
    <t>tdNE8TK9G6EefHzS7j9kWHn62sn4yA1AzBmMqEfW7B2xFfudDNcs1KTGpnjw2A1jdeafp6ss1cxW4qrizSs4RuLo53XCxyepQ77UckoZTfLxpsHwBNo96mqpvXhZvXA9wQMKmUvAjf4MzA</t>
  </si>
  <si>
    <t>tdNDw2KKCqa5y2sYaFjrynewxbMxVrWXfr3wRs78w4VXvDnwaSCFMnC5QtSgJL7e9cyWDaLWJArszbfuTWBeRqeErMvSoPD6CQEcsWdzwjvTfG3iYbN8JxqFoeMKrDZiaDMEMRTUv8GiRS</t>
  </si>
  <si>
    <t>tdNEMT8FPm1kMzTQ5HqLQwqhidsEe7pY6eZkW8uNe4tWbAw4d2GDDHy15u3C21WwuVst1Ptow9FN1G3JHKAupfeGnoqvYDzyGy7QyoNL6eup7VXbiymTYZDA34YqPyqaWD8a2SoD2mh54i</t>
  </si>
  <si>
    <t>tdNE9VLqu6SPbsc8jBUxadqWQ1oQ2jEgEoGp8Jxg9fQHWFnBHryJxFNT77ehMMXfb29C6WP1CZCYFRGezNBfp8Nvq19JBASxkMuUvyU4MrrFTKL7noQKuCtMWzNjNL8FuJbAKFk81d46XT</t>
  </si>
  <si>
    <t>tdNDhVXjumSA4iVQD48uPAHa8EkbLGNCPrBx2wrJSyVGS7f3v3MrpMPswHS9CQwDH5DKfuBzQrje6H7PSP52XJSnGeWYrHKhXNAZ3jbgFnzxWFg6j3XgqgDqePxvsgpbHFY1PAeoVQ2TgG</t>
  </si>
  <si>
    <t>tdNECCk2p5Zt72YoVYjoRYhSQbnHHDVWSUYViYiBPP6NTWYbxLZ2xXP9d1Jj2sjjCiMaRRmFzxKTj6jVftsVMvP5Nuve1dgZ9suZeJwkvDsM1XiFKmLyytYNMpwoVtzyeBSgFK2JQWMHjb</t>
  </si>
  <si>
    <t>tdNEL3uRAqs55Yf1dLch1y1q2Rr6cTzF929N4nG5K5q5mprjGah77pt61dpKXLp6jm51p64f3QUibTFiNmXGL8mjVd1aUuWqhhedG9PZ39v5mMBk3yDpDgpovtDYhZXRUyAznzwzDTD9LA</t>
  </si>
  <si>
    <t>tdNDowo9QyHT1KnkQP4173GMona8MdrQ7UbG1E1BxdUgyxAMh9KK2w9tfcBcfxWgQzH29JtZpFZ7MekRtytfR5no6RjdnKdgrx5PByfEXhtZzX3HX74qVEL33qnDfdf6gqMpCxjjgLHECY</t>
  </si>
  <si>
    <t>tdNEGM3uEHJVCb2P1685iz6BW1CydeC3C3FvqbuuaYGe2QGi6TJ5qHHRd5FPXg46RrXq37zx3GwEMtX9tUUC7acwSpMWyq9e7bAjXqMdi2tyra5V6eb1xYcPgiJxvjcLKNPSdzCe5phFxU</t>
  </si>
  <si>
    <t>tdNEH17kRe11ej1CWyL2fZpqugNTr6Jpb5QXvUdDfTdqcmswyzWwWtSkCxZFFJdwwtd8hhoiNm7Pxy7apLy4ZD3PPRX5rQHiwtd5Fphcj539YjdsUQAi5ANTfrkdZsZT3rxSyMsSukhtfa</t>
  </si>
  <si>
    <t>tdNE68zqdqdeXnJ6E33z37MSrY5T7jyZyNCqFHiCM4Jx6Kh2z9o9UPuKeoknzrKvx2fDa5Vk2a3azP7msMsNWPYXg8VuC6zW8H1uAC95CFrHNXE8QVngVo2155v77HrH45UJerWpPfc49J</t>
  </si>
  <si>
    <t>tdNEJ6Wmitpyt2N9ZSvt4uaUHNh8uekffqBSe6c2doncxUG3wyzqDpwrXFkxrMibMFBG154v6zbgLH7mCErX5NYFC2fJvuba7khBh14Zv3eZJwxbsruBXcVDBCw3yo2eKr9n8wGvjhxzdt</t>
  </si>
  <si>
    <t>tdNDzez9CJptn4441J9RmAR6e3Ka7UVQPLPeNcSMRkaHz6cHZX3m2wiyUm2eijJLKeoovPh4EqkXQEzQkc1MHyjvVZPrDn9b5ECBkULT6thjQqSMUPSgecjoCqjrRUQxMmjwAKBJxogWwp</t>
  </si>
  <si>
    <t>tdNEHvb7ZycsZkov132aFxKLzyWRrH3UzBx1fV1UJKBETZnEU6g2TktDWVbAkc4aQHvYC7nnsFxH93uyWaqvxPCzEyUqFccBij54sGSwvshuLDnVxA1T4j2zQr8gZr9ZfhGzVBVB8ornDg</t>
  </si>
  <si>
    <t>Count of from</t>
  </si>
  <si>
    <t>Row Labels</t>
  </si>
  <si>
    <t>Grand Total</t>
  </si>
  <si>
    <t>Sum of amount</t>
  </si>
  <si>
    <t>Count of to</t>
  </si>
  <si>
    <t>Sum of fee</t>
  </si>
  <si>
    <t>Average of amount</t>
  </si>
  <si>
    <t># of transactions</t>
  </si>
  <si>
    <t># of unique addresses (send)</t>
  </si>
  <si>
    <t># of unique addresses (received)</t>
  </si>
  <si>
    <t>General stats</t>
  </si>
  <si>
    <t>Receiver of Transactions</t>
  </si>
  <si>
    <t>Sender of Transactions</t>
  </si>
  <si>
    <t>Count by Fees</t>
  </si>
  <si>
    <t>Average of fee</t>
  </si>
  <si>
    <t xml:space="preserve">Average fee </t>
  </si>
  <si>
    <t>Average amount</t>
  </si>
  <si>
    <t>Average amount (excl 0 amount)</t>
  </si>
  <si>
    <t>Average fee (excl 0 amount)</t>
  </si>
  <si>
    <t>Amount Transferred</t>
  </si>
  <si>
    <t>Fees</t>
  </si>
  <si>
    <t># of Transactions</t>
  </si>
  <si>
    <t>Network Stats</t>
  </si>
  <si>
    <t>Chart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</si>
</sst>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9" fontId="0" fillId="0" borderId="0" xfId="2" applyFont="1"/>
    <xf numFmtId="164" fontId="0" fillId="0" borderId="0" xfId="2" applyNumberFormat="1" applyFont="1"/>
    <xf numFmtId="0" fontId="16" fillId="0" borderId="0" xfId="0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chartsheet" Target="chartsheets/sheet1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[coda_transactions.xlsm]Pivot Tables!PivotTable8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of Transactions by amount transferred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Tables'!$B$57</c:f>
              <c:strCache>
                <c:ptCount val="1"/>
                <c:pt idx="0">
                  <c:v>Count of 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FB-8040-BF06-EF7DE97157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FB-8040-BF06-EF7DE97157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FB-8040-BF06-EF7DE97157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FB-8040-BF06-EF7DE97157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FB-8040-BF06-EF7DE971578D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FB-8040-BF06-EF7DE97157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Tables'!$A$58:$A$63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20</c:v>
                </c:pt>
                <c:pt idx="4">
                  <c:v>100</c:v>
                </c:pt>
              </c:strCache>
            </c:strRef>
          </c:cat>
          <c:val>
            <c:numRef>
              <c:f>'Pivot Tables'!$B$58:$B$63</c:f>
              <c:numCache>
                <c:formatCode>General</c:formatCode>
                <c:ptCount val="5"/>
                <c:pt idx="0">
                  <c:v>497</c:v>
                </c:pt>
                <c:pt idx="1">
                  <c:v>68</c:v>
                </c:pt>
                <c:pt idx="2">
                  <c:v>401</c:v>
                </c:pt>
                <c:pt idx="3">
                  <c:v>2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FB-8040-BF06-EF7DE971578D}"/>
            </c:ext>
          </c:extLst>
        </c:ser>
        <c:ser>
          <c:idx val="1"/>
          <c:order val="1"/>
          <c:tx>
            <c:strRef>
              <c:f>'Pivot Tables'!$C$57</c:f>
              <c:strCache>
                <c:ptCount val="1"/>
                <c:pt idx="0">
                  <c:v>Count of from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7FB-8040-BF06-EF7DE97157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7FB-8040-BF06-EF7DE97157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7FB-8040-BF06-EF7DE97157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7FB-8040-BF06-EF7DE97157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7FB-8040-BF06-EF7DE971578D}"/>
              </c:ext>
            </c:extLst>
          </c:dPt>
          <c:cat>
            <c:strRef>
              <c:f>'Pivot Tables'!$A$58:$A$63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20</c:v>
                </c:pt>
                <c:pt idx="4">
                  <c:v>100</c:v>
                </c:pt>
              </c:strCache>
            </c:strRef>
          </c:cat>
          <c:val>
            <c:numRef>
              <c:f>'Pivot Tables'!$C$58:$C$63</c:f>
              <c:numCache>
                <c:formatCode>General</c:formatCode>
                <c:ptCount val="5"/>
                <c:pt idx="0">
                  <c:v>497</c:v>
                </c:pt>
                <c:pt idx="1">
                  <c:v>68</c:v>
                </c:pt>
                <c:pt idx="2">
                  <c:v>401</c:v>
                </c:pt>
                <c:pt idx="3">
                  <c:v>2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FB-8040-BF06-EF7DE971578D}"/>
            </c:ext>
          </c:extLst>
        </c:ser>
        <c:ser>
          <c:idx val="2"/>
          <c:order val="2"/>
          <c:tx>
            <c:strRef>
              <c:f>'Pivot Tables'!$D$57</c:f>
              <c:strCache>
                <c:ptCount val="1"/>
                <c:pt idx="0">
                  <c:v>Average of fee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7FB-8040-BF06-EF7DE97157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7FB-8040-BF06-EF7DE97157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7FB-8040-BF06-EF7DE97157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7FB-8040-BF06-EF7DE97157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7FB-8040-BF06-EF7DE971578D}"/>
              </c:ext>
            </c:extLst>
          </c:dPt>
          <c:cat>
            <c:strRef>
              <c:f>'Pivot Tables'!$A$58:$A$63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20</c:v>
                </c:pt>
                <c:pt idx="4">
                  <c:v>100</c:v>
                </c:pt>
              </c:strCache>
            </c:strRef>
          </c:cat>
          <c:val>
            <c:numRef>
              <c:f>'Pivot Tables'!$D$58:$D$63</c:f>
              <c:numCache>
                <c:formatCode>General</c:formatCode>
                <c:ptCount val="5"/>
                <c:pt idx="0">
                  <c:v>0</c:v>
                </c:pt>
                <c:pt idx="1">
                  <c:v>0.30882352941176472</c:v>
                </c:pt>
                <c:pt idx="2">
                  <c:v>1</c:v>
                </c:pt>
                <c:pt idx="3">
                  <c:v>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7FB-8040-BF06-EF7DE9715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970787223382124E-2"/>
          <c:y val="0.82628252286560144"/>
          <c:w val="0.211178276781014"/>
          <c:h val="0.172000329651587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[coda_transactions.xlsm]Pivot Tables!PivotTable7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# of Transactions by fees paid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8AB4C895-27C2-E847-8550-8A11E4C5EBC4}" type="PERCENTAGE">
                  <a:rPr lang="en-US" baseline="0"/>
                  <a:pPr>
                    <a:defRPr sz="1400">
                      <a:solidFill>
                        <a:schemeClr val="bg1"/>
                      </a:solidFill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Tables'!$B$48</c:f>
              <c:strCache>
                <c:ptCount val="1"/>
                <c:pt idx="0">
                  <c:v>Count of 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F0-2342-997A-950B720FF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F0-2342-997A-950B720FF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EF0-2342-997A-950B720FF8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EF0-2342-997A-950B720FF8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EF0-2342-997A-950B720FF85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AB4C895-27C2-E847-8550-8A11E4C5EBC4}" type="PERCENTAGE">
                      <a:rPr lang="en-US" baseline="0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EF0-2342-997A-950B720FF8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Tables'!$A$49:$A$53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</c:strCache>
            </c:strRef>
          </c:cat>
          <c:val>
            <c:numRef>
              <c:f>'Pivot Tables'!$B$49:$B$53</c:f>
              <c:numCache>
                <c:formatCode>General</c:formatCode>
                <c:ptCount val="4"/>
                <c:pt idx="0">
                  <c:v>544</c:v>
                </c:pt>
                <c:pt idx="1">
                  <c:v>422</c:v>
                </c:pt>
                <c:pt idx="2">
                  <c:v>2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F0-2342-997A-950B720FF85F}"/>
            </c:ext>
          </c:extLst>
        </c:ser>
        <c:ser>
          <c:idx val="1"/>
          <c:order val="1"/>
          <c:tx>
            <c:strRef>
              <c:f>'Pivot Tables'!$C$48</c:f>
              <c:strCache>
                <c:ptCount val="1"/>
                <c:pt idx="0">
                  <c:v>Count of from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EF0-2342-997A-950B720FF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EF0-2342-997A-950B720FF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EF0-2342-997A-950B720FF8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EF0-2342-997A-950B720FF8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EF0-2342-997A-950B720FF85F}"/>
              </c:ext>
            </c:extLst>
          </c:dPt>
          <c:cat>
            <c:strRef>
              <c:f>'Pivot Tables'!$A$49:$A$53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</c:strCache>
            </c:strRef>
          </c:cat>
          <c:val>
            <c:numRef>
              <c:f>'Pivot Tables'!$C$49:$C$53</c:f>
              <c:numCache>
                <c:formatCode>General</c:formatCode>
                <c:ptCount val="4"/>
                <c:pt idx="0">
                  <c:v>544</c:v>
                </c:pt>
                <c:pt idx="1">
                  <c:v>422</c:v>
                </c:pt>
                <c:pt idx="2">
                  <c:v>2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F0-2342-997A-950B720FF85F}"/>
            </c:ext>
          </c:extLst>
        </c:ser>
        <c:ser>
          <c:idx val="2"/>
          <c:order val="2"/>
          <c:tx>
            <c:strRef>
              <c:f>'Pivot Tables'!$D$48</c:f>
              <c:strCache>
                <c:ptCount val="1"/>
                <c:pt idx="0">
                  <c:v>Sum of amount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EF0-2342-997A-950B720FF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EF0-2342-997A-950B720FF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EF0-2342-997A-950B720FF8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EF0-2342-997A-950B720FF8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EF0-2342-997A-950B720FF85F}"/>
              </c:ext>
            </c:extLst>
          </c:dPt>
          <c:cat>
            <c:strRef>
              <c:f>'Pivot Tables'!$A$49:$A$53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</c:strCache>
            </c:strRef>
          </c:cat>
          <c:val>
            <c:numRef>
              <c:f>'Pivot Tables'!$D$49:$D$53</c:f>
              <c:numCache>
                <c:formatCode>General</c:formatCode>
                <c:ptCount val="4"/>
                <c:pt idx="0">
                  <c:v>47</c:v>
                </c:pt>
                <c:pt idx="1">
                  <c:v>823</c:v>
                </c:pt>
                <c:pt idx="2">
                  <c:v>40</c:v>
                </c:pt>
                <c:pt idx="3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EF0-2342-997A-950B720FF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037550858536995"/>
          <c:y val="0.86038952980737671"/>
          <c:w val="0.29830771828615082"/>
          <c:h val="0.13790334589997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Sender</a:t>
            </a:r>
            <a:r>
              <a:rPr lang="en-US" baseline="0"/>
              <a:t> Accounts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'Pivot Tables'!$F$8</c:f>
              <c:strCache>
                <c:ptCount val="1"/>
                <c:pt idx="0">
                  <c:v>Amount Transferred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'Pivot Tables'!$F$9:$F$17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47</c:v>
                </c:pt>
                <c:pt idx="3">
                  <c:v>802</c:v>
                </c:pt>
                <c:pt idx="4">
                  <c:v>3700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B-E44E-ACC2-42FBFB87DC45}"/>
            </c:ext>
          </c:extLst>
        </c:ser>
        <c:ser>
          <c:idx val="2"/>
          <c:order val="1"/>
          <c:tx>
            <c:strRef>
              <c:f>'Pivot Tables'!$G$8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'Pivot Tables'!$G$9:$G$17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401</c:v>
                </c:pt>
                <c:pt idx="4">
                  <c:v>370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BB-E44E-ACC2-42FBFB87D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513455"/>
        <c:axId val="93179391"/>
      </c:barChart>
      <c:lineChart>
        <c:grouping val="standard"/>
        <c:varyColors val="0"/>
        <c:ser>
          <c:idx val="3"/>
          <c:order val="2"/>
          <c:tx>
            <c:strRef>
              <c:f>'Pivot Tables'!$H$8</c:f>
              <c:strCache>
                <c:ptCount val="1"/>
                <c:pt idx="0">
                  <c:v># of Transactions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'Pivot Tables'!$H$9:$H$17</c:f>
              <c:numCache>
                <c:formatCode>General</c:formatCode>
                <c:ptCount val="9"/>
                <c:pt idx="0">
                  <c:v>131</c:v>
                </c:pt>
                <c:pt idx="1">
                  <c:v>278</c:v>
                </c:pt>
                <c:pt idx="2">
                  <c:v>47</c:v>
                </c:pt>
                <c:pt idx="3">
                  <c:v>401</c:v>
                </c:pt>
                <c:pt idx="4">
                  <c:v>37</c:v>
                </c:pt>
                <c:pt idx="5">
                  <c:v>2</c:v>
                </c:pt>
                <c:pt idx="6">
                  <c:v>14</c:v>
                </c:pt>
                <c:pt idx="7">
                  <c:v>74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BB-E44E-ACC2-42FBFB87D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219424"/>
        <c:axId val="1919913536"/>
      </c:lineChart>
      <c:catAx>
        <c:axId val="925134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79391"/>
        <c:crosses val="autoZero"/>
        <c:auto val="1"/>
        <c:lblAlgn val="ctr"/>
        <c:lblOffset val="100"/>
        <c:noMultiLvlLbl val="0"/>
      </c:catAx>
      <c:valAx>
        <c:axId val="93179391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13455"/>
        <c:crosses val="autoZero"/>
        <c:crossBetween val="between"/>
        <c:majorUnit val="400"/>
        <c:minorUnit val="200"/>
      </c:valAx>
      <c:valAx>
        <c:axId val="1919913536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219424"/>
        <c:crosses val="max"/>
        <c:crossBetween val="between"/>
      </c:valAx>
      <c:catAx>
        <c:axId val="1923219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919913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Receiver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'Pivot Tables'!$F$24</c:f>
              <c:strCache>
                <c:ptCount val="1"/>
                <c:pt idx="0">
                  <c:v>Amount Transferred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'Pivot Tables'!$F$25:$F$43</c:f>
              <c:numCache>
                <c:formatCode>General</c:formatCode>
                <c:ptCount val="19"/>
                <c:pt idx="0">
                  <c:v>121</c:v>
                </c:pt>
                <c:pt idx="1">
                  <c:v>300</c:v>
                </c:pt>
                <c:pt idx="2">
                  <c:v>300</c:v>
                </c:pt>
                <c:pt idx="3">
                  <c:v>347</c:v>
                </c:pt>
                <c:pt idx="4">
                  <c:v>100</c:v>
                </c:pt>
                <c:pt idx="5">
                  <c:v>600</c:v>
                </c:pt>
                <c:pt idx="6">
                  <c:v>198</c:v>
                </c:pt>
                <c:pt idx="7">
                  <c:v>198</c:v>
                </c:pt>
                <c:pt idx="8">
                  <c:v>100</c:v>
                </c:pt>
                <c:pt idx="9">
                  <c:v>200</c:v>
                </c:pt>
                <c:pt idx="10">
                  <c:v>400</c:v>
                </c:pt>
                <c:pt idx="11">
                  <c:v>212</c:v>
                </c:pt>
                <c:pt idx="12">
                  <c:v>500</c:v>
                </c:pt>
                <c:pt idx="13">
                  <c:v>100</c:v>
                </c:pt>
                <c:pt idx="14">
                  <c:v>100</c:v>
                </c:pt>
                <c:pt idx="15">
                  <c:v>194</c:v>
                </c:pt>
                <c:pt idx="16">
                  <c:v>40</c:v>
                </c:pt>
                <c:pt idx="17">
                  <c:v>300</c:v>
                </c:pt>
                <c:pt idx="18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C0-954A-99B8-04E4F1ECA8F7}"/>
            </c:ext>
          </c:extLst>
        </c:ser>
        <c:ser>
          <c:idx val="2"/>
          <c:order val="1"/>
          <c:tx>
            <c:strRef>
              <c:f>'Pivot Tables'!$G$24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'Pivot Tables'!$G$25:$G$43</c:f>
              <c:numCache>
                <c:formatCode>General</c:formatCode>
                <c:ptCount val="19"/>
                <c:pt idx="0">
                  <c:v>31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10</c:v>
                </c:pt>
                <c:pt idx="5">
                  <c:v>60</c:v>
                </c:pt>
                <c:pt idx="6">
                  <c:v>99</c:v>
                </c:pt>
                <c:pt idx="7">
                  <c:v>99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  <c:pt idx="11">
                  <c:v>106</c:v>
                </c:pt>
                <c:pt idx="12">
                  <c:v>50</c:v>
                </c:pt>
                <c:pt idx="13">
                  <c:v>10</c:v>
                </c:pt>
                <c:pt idx="14">
                  <c:v>10</c:v>
                </c:pt>
                <c:pt idx="15">
                  <c:v>97</c:v>
                </c:pt>
                <c:pt idx="16">
                  <c:v>10</c:v>
                </c:pt>
                <c:pt idx="17">
                  <c:v>30</c:v>
                </c:pt>
                <c:pt idx="1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C0-954A-99B8-04E4F1EC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513455"/>
        <c:axId val="93179391"/>
      </c:barChart>
      <c:lineChart>
        <c:grouping val="standard"/>
        <c:varyColors val="0"/>
        <c:ser>
          <c:idx val="3"/>
          <c:order val="2"/>
          <c:tx>
            <c:strRef>
              <c:f>'Pivot Tables'!$H$24</c:f>
              <c:strCache>
                <c:ptCount val="1"/>
                <c:pt idx="0">
                  <c:v># of Transactions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'Pivot Tables'!$H$25:$H$43</c:f>
              <c:numCache>
                <c:formatCode>General</c:formatCode>
                <c:ptCount val="19"/>
                <c:pt idx="0">
                  <c:v>22</c:v>
                </c:pt>
                <c:pt idx="1">
                  <c:v>134</c:v>
                </c:pt>
                <c:pt idx="2">
                  <c:v>295</c:v>
                </c:pt>
                <c:pt idx="3">
                  <c:v>50</c:v>
                </c:pt>
                <c:pt idx="4">
                  <c:v>1</c:v>
                </c:pt>
                <c:pt idx="5">
                  <c:v>6</c:v>
                </c:pt>
                <c:pt idx="6">
                  <c:v>99</c:v>
                </c:pt>
                <c:pt idx="7">
                  <c:v>99</c:v>
                </c:pt>
                <c:pt idx="8">
                  <c:v>1</c:v>
                </c:pt>
                <c:pt idx="9">
                  <c:v>2</c:v>
                </c:pt>
                <c:pt idx="10">
                  <c:v>78</c:v>
                </c:pt>
                <c:pt idx="11">
                  <c:v>106</c:v>
                </c:pt>
                <c:pt idx="12">
                  <c:v>5</c:v>
                </c:pt>
                <c:pt idx="13">
                  <c:v>1</c:v>
                </c:pt>
                <c:pt idx="14">
                  <c:v>1</c:v>
                </c:pt>
                <c:pt idx="15">
                  <c:v>97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C0-954A-99B8-04E4F1EC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6871184"/>
        <c:axId val="1939022704"/>
      </c:lineChart>
      <c:catAx>
        <c:axId val="9251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79391"/>
        <c:crosses val="autoZero"/>
        <c:auto val="1"/>
        <c:lblAlgn val="ctr"/>
        <c:lblOffset val="100"/>
        <c:noMultiLvlLbl val="0"/>
      </c:catAx>
      <c:valAx>
        <c:axId val="9317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13455"/>
        <c:crosses val="autoZero"/>
        <c:crossBetween val="between"/>
      </c:valAx>
      <c:valAx>
        <c:axId val="1939022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871184"/>
        <c:crosses val="max"/>
        <c:crossBetween val="between"/>
      </c:valAx>
      <c:catAx>
        <c:axId val="1936871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93902270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tabSelected="1"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983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B771F-F4EC-B246-BAC2-51FDB0944B9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983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7B9B54-E38E-1F42-845E-7E54FB380A6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3983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03AB47-BFE7-A240-A26B-DA6148154E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983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C306C7-C75D-3B43-9964-C1C53D60C1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771.543979050926" createdVersion="6" refreshedVersion="6" minRefreshableVersion="3" recordCount="1005">
  <cacheSource type="worksheet">
    <worksheetSource ref="A1:F1006" sheet="coda_transactions"/>
  </cacheSource>
  <cacheFields count="6">
    <cacheField name="amount" numFmtId="0">
      <sharedItems containsSemiMixedTypes="0" containsString="0" containsNumber="1" containsInteger="1" minValue="0" maxValue="100" count="5">
        <n v="0"/>
        <n v="2"/>
        <n v="1"/>
        <n v="100"/>
        <n v="20"/>
      </sharedItems>
    </cacheField>
    <cacheField name="fee" numFmtId="0">
      <sharedItems containsSemiMixedTypes="0" containsString="0" containsNumber="1" containsInteger="1" minValue="0" maxValue="10" count="4">
        <n v="0"/>
        <n v="1"/>
        <n v="10"/>
        <n v="5"/>
      </sharedItems>
    </cacheField>
    <cacheField name="to" numFmtId="0">
      <sharedItems count="19">
        <s v="tdNDjfWWKZALACQPCLFaTGoAtdDoWEXeNuYRZZWChC4wbSeUb5tVn3UiSsVKt913A7btERefMS4GoEMkQWTs4TsGh21as6ecNP2HKfW6foxmXhwscDKdUEXqZRkCXJvNfz8wBjNXJcHaoK"/>
        <s v="tdNEGc6FDPWjwr5uF38BstMCwFK3Z1dERbxgqaYYH8iMRR4CGEWfa6eGLa6jQJaxN989a4wPVeJPML1UucrK4Vr3yL1zfLJZNkf1n6erbKejxuw72EtwtFe7ZtaGqLNo1Gch2UMKXkcYA3"/>
        <s v="tdNDd77H3KPe1AN6E3YMNr1AYoagnzLKeSvvuh55hLY78SRwMAeoX8CfDjYu7sX9bn67TJCokKtEVWJTXfENZVMNKk3Ubt5KKtA1XpEBh4RMyq5767X12SzfnmF6EGwpdLMp9MxwVKWQau"/>
        <s v="tdNEKfNCEjZ7BSKCps8JRFugxMngpAzFYbLrTCZoggpKNHn5SJzWLxSmpDxRt1fcPUNwjkEMU9KNkEKxERgHfmBSjgDXxoZXNqXkbpGkoPXn6dbpMRmXV9pxzKMyJ6HJheHUVBdF5ViKf8"/>
        <s v="tdNDw2KKCqa5y2sYaFjrynewxbMxVrWXfr3wRs78w4VXvDnwaSCFMnC5QtSgJL7e9cyWDaLWJArszbfuTWBeRqeErMvSoPD6CQEcsWdzwjvTfG3iYbN8JxqFoeMKrDZiaDMEMRTUv8GiRS"/>
        <s v="tdNEMT8FPm1kMzTQ5HqLQwqhidsEe7pY6eZkW8uNe4tWbAw4d2GDDHy15u3C21WwuVst1Ptow9FN1G3JHKAupfeGnoqvYDzyGy7QyoNL6eup7VXbiymTYZDA34YqPyqaWD8a2SoD2mh54i"/>
        <s v="tdNDhVXjumSA4iVQD48uPAHa8EkbLGNCPrBx2wrJSyVGS7f3v3MrpMPswHS9CQwDH5DKfuBzQrje6H7PSP52XJSnGeWYrHKhXNAZ3jbgFnzxWFg6j3XgqgDqePxvsgpbHFY1PAeoVQ2TgG"/>
        <s v="tdNECCk2p5Zt72YoVYjoRYhSQbnHHDVWSUYViYiBPP6NTWYbxLZ2xXP9d1Jj2sjjCiMaRRmFzxKTj6jVftsVMvP5Nuve1dgZ9suZeJwkvDsM1XiFKmLyytYNMpwoVtzyeBSgFK2JQWMHjb"/>
        <s v="tdNEL3uRAqs55Yf1dLch1y1q2Rr6cTzF929N4nG5K5q5mprjGah77pt61dpKXLp6jm51p64f3QUibTFiNmXGL8mjVd1aUuWqhhedG9PZ39v5mMBk3yDpDgpovtDYhZXRUyAznzwzDTD9LA"/>
        <s v="tdNE9VLqu6SPbsc8jBUxadqWQ1oQ2jEgEoGp8Jxg9fQHWFnBHryJxFNT77ehMMXfb29C6WP1CZCYFRGezNBfp8Nvq19JBASxkMuUvyU4MrrFTKL7noQKuCtMWzNjNL8FuJbAKFk81d46XT"/>
        <s v="tdNDowo9QyHT1KnkQP4173GMona8MdrQ7UbG1E1BxdUgyxAMh9KK2w9tfcBcfxWgQzH29JtZpFZ7MekRtytfR5no6RjdnKdgrx5PByfEXhtZzX3HX74qVEL33qnDfdf6gqMpCxjjgLHECY"/>
        <s v="tdNEGM3uEHJVCb2P1685iz6BW1CydeC3C3FvqbuuaYGe2QGi6TJ5qHHRd5FPXg46RrXq37zx3GwEMtX9tUUC7acwSpMWyq9e7bAjXqMdi2tyra5V6eb1xYcPgiJxvjcLKNPSdzCe5phFxU"/>
        <s v="tdNEH17kRe11ej1CWyL2fZpqugNTr6Jpb5QXvUdDfTdqcmswyzWwWtSkCxZFFJdwwtd8hhoiNm7Pxy7apLy4ZD3PPRX5rQHiwtd5Fphcj539YjdsUQAi5ANTfrkdZsZT3rxSyMsSukhtfa"/>
        <s v="tdNE68zqdqdeXnJ6E33z37MSrY5T7jyZyNCqFHiCM4Jx6Kh2z9o9UPuKeoknzrKvx2fDa5Vk2a3azP7msMsNWPYXg8VuC6zW8H1uAC95CFrHNXE8QVngVo2155v77HrH45UJerWpPfc49J"/>
        <s v="tdNEJ6Wmitpyt2N9ZSvt4uaUHNh8uekffqBSe6c2doncxUG3wyzqDpwrXFkxrMibMFBG154v6zbgLH7mCErX5NYFC2fJvuba7khBh14Zv3eZJwxbsruBXcVDBCw3yo2eKr9n8wGvjhxzdt"/>
        <s v="tdNDzez9CJptn4441J9RmAR6e3Ka7UVQPLPeNcSMRkaHz6cHZX3m2wiyUm2eijJLKeoovPh4EqkXQEzQkc1MHyjvVZPrDn9b5ECBkULT6thjQqSMUPSgecjoCqjrRUQxMmjwAKBJxogWwp"/>
        <s v="tdNDx8htq6yao9NC7SnwGh8KGGs9iwtDy9HfYHk512hH2FVj8EPxczE5dTp4yZ6Dee9S5BP2XbSFcKUeDKFeQNMjraEV4iQQz8xGdsgJHAFgrvU4kPSw34KoJchZQYma3EZKbghwbT2CeU"/>
        <s v="tdNE8TK9G6EefHzS7j9kWHn62sn4yA1AzBmMqEfW7B2xFfudDNcs1KTGpnjw2A1jdeafp6ss1cxW4qrizSs4RuLo53XCxyepQ77UckoZTfLxpsHwBNo96mqpvXhZvXA9wQMKmUvAjf4MzA"/>
        <s v="tdNEHvb7ZycsZkov132aFxKLzyWRrH3UzBx1fV1UJKBETZnEU6g2TktDWVbAkc4aQHvYC7nnsFxH93uyWaqvxPCzEyUqFccBij54sGSwvshuLDnVxA1T4j2zQr8gZr9ZfhGzVBVB8ornDg"/>
      </sharedItems>
    </cacheField>
    <cacheField name="from" numFmtId="0">
      <sharedItems/>
    </cacheField>
    <cacheField name="isDelegation" numFmtId="0">
      <sharedItems/>
    </cacheField>
    <cacheField name="mem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771.584048958335" createdVersion="6" refreshedVersion="6" minRefreshableVersion="3" recordCount="1006">
  <cacheSource type="worksheet">
    <worksheetSource ref="A1:F2000" sheet="coda_transactions"/>
  </cacheSource>
  <cacheFields count="6">
    <cacheField name="amount" numFmtId="0">
      <sharedItems containsString="0" containsBlank="1" containsNumber="1" containsInteger="1" minValue="0" maxValue="100" count="6">
        <n v="0"/>
        <n v="2"/>
        <n v="1"/>
        <n v="100"/>
        <n v="20"/>
        <m/>
      </sharedItems>
    </cacheField>
    <cacheField name="fee" numFmtId="0">
      <sharedItems containsString="0" containsBlank="1" containsNumber="1" containsInteger="1" minValue="0" maxValue="10" count="5">
        <n v="0"/>
        <n v="1"/>
        <n v="10"/>
        <n v="5"/>
        <m/>
      </sharedItems>
    </cacheField>
    <cacheField name="to" numFmtId="0">
      <sharedItems containsBlank="1" count="20">
        <s v="tdNDjfWWKZALACQPCLFaTGoAtdDoWEXeNuYRZZWChC4wbSeUb5tVn3UiSsVKt913A7btERefMS4GoEMkQWTs4TsGh21as6ecNP2HKfW6foxmXhwscDKdUEXqZRkCXJvNfz8wBjNXJcHaoK"/>
        <s v="tdNEGc6FDPWjwr5uF38BstMCwFK3Z1dERbxgqaYYH8iMRR4CGEWfa6eGLa6jQJaxN989a4wPVeJPML1UucrK4Vr3yL1zfLJZNkf1n6erbKejxuw72EtwtFe7ZtaGqLNo1Gch2UMKXkcYA3"/>
        <s v="tdNDd77H3KPe1AN6E3YMNr1AYoagnzLKeSvvuh55hLY78SRwMAeoX8CfDjYu7sX9bn67TJCokKtEVWJTXfENZVMNKk3Ubt5KKtA1XpEBh4RMyq5767X12SzfnmF6EGwpdLMp9MxwVKWQau"/>
        <s v="tdNEKfNCEjZ7BSKCps8JRFugxMngpAzFYbLrTCZoggpKNHn5SJzWLxSmpDxRt1fcPUNwjkEMU9KNkEKxERgHfmBSjgDXxoZXNqXkbpGkoPXn6dbpMRmXV9pxzKMyJ6HJheHUVBdF5ViKf8"/>
        <s v="tdNDw2KKCqa5y2sYaFjrynewxbMxVrWXfr3wRs78w4VXvDnwaSCFMnC5QtSgJL7e9cyWDaLWJArszbfuTWBeRqeErMvSoPD6CQEcsWdzwjvTfG3iYbN8JxqFoeMKrDZiaDMEMRTUv8GiRS"/>
        <s v="tdNEMT8FPm1kMzTQ5HqLQwqhidsEe7pY6eZkW8uNe4tWbAw4d2GDDHy15u3C21WwuVst1Ptow9FN1G3JHKAupfeGnoqvYDzyGy7QyoNL6eup7VXbiymTYZDA34YqPyqaWD8a2SoD2mh54i"/>
        <s v="tdNDhVXjumSA4iVQD48uPAHa8EkbLGNCPrBx2wrJSyVGS7f3v3MrpMPswHS9CQwDH5DKfuBzQrje6H7PSP52XJSnGeWYrHKhXNAZ3jbgFnzxWFg6j3XgqgDqePxvsgpbHFY1PAeoVQ2TgG"/>
        <s v="tdNECCk2p5Zt72YoVYjoRYhSQbnHHDVWSUYViYiBPP6NTWYbxLZ2xXP9d1Jj2sjjCiMaRRmFzxKTj6jVftsVMvP5Nuve1dgZ9suZeJwkvDsM1XiFKmLyytYNMpwoVtzyeBSgFK2JQWMHjb"/>
        <s v="tdNEL3uRAqs55Yf1dLch1y1q2Rr6cTzF929N4nG5K5q5mprjGah77pt61dpKXLp6jm51p64f3QUibTFiNmXGL8mjVd1aUuWqhhedG9PZ39v5mMBk3yDpDgpovtDYhZXRUyAznzwzDTD9LA"/>
        <s v="tdNE9VLqu6SPbsc8jBUxadqWQ1oQ2jEgEoGp8Jxg9fQHWFnBHryJxFNT77ehMMXfb29C6WP1CZCYFRGezNBfp8Nvq19JBASxkMuUvyU4MrrFTKL7noQKuCtMWzNjNL8FuJbAKFk81d46XT"/>
        <s v="tdNDowo9QyHT1KnkQP4173GMona8MdrQ7UbG1E1BxdUgyxAMh9KK2w9tfcBcfxWgQzH29JtZpFZ7MekRtytfR5no6RjdnKdgrx5PByfEXhtZzX3HX74qVEL33qnDfdf6gqMpCxjjgLHECY"/>
        <s v="tdNEGM3uEHJVCb2P1685iz6BW1CydeC3C3FvqbuuaYGe2QGi6TJ5qHHRd5FPXg46RrXq37zx3GwEMtX9tUUC7acwSpMWyq9e7bAjXqMdi2tyra5V6eb1xYcPgiJxvjcLKNPSdzCe5phFxU"/>
        <s v="tdNEH17kRe11ej1CWyL2fZpqugNTr6Jpb5QXvUdDfTdqcmswyzWwWtSkCxZFFJdwwtd8hhoiNm7Pxy7apLy4ZD3PPRX5rQHiwtd5Fphcj539YjdsUQAi5ANTfrkdZsZT3rxSyMsSukhtfa"/>
        <s v="tdNE68zqdqdeXnJ6E33z37MSrY5T7jyZyNCqFHiCM4Jx6Kh2z9o9UPuKeoknzrKvx2fDa5Vk2a3azP7msMsNWPYXg8VuC6zW8H1uAC95CFrHNXE8QVngVo2155v77HrH45UJerWpPfc49J"/>
        <s v="tdNEJ6Wmitpyt2N9ZSvt4uaUHNh8uekffqBSe6c2doncxUG3wyzqDpwrXFkxrMibMFBG154v6zbgLH7mCErX5NYFC2fJvuba7khBh14Zv3eZJwxbsruBXcVDBCw3yo2eKr9n8wGvjhxzdt"/>
        <s v="tdNDzez9CJptn4441J9RmAR6e3Ka7UVQPLPeNcSMRkaHz6cHZX3m2wiyUm2eijJLKeoovPh4EqkXQEzQkc1MHyjvVZPrDn9b5ECBkULT6thjQqSMUPSgecjoCqjrRUQxMmjwAKBJxogWwp"/>
        <s v="tdNDx8htq6yao9NC7SnwGh8KGGs9iwtDy9HfYHk512hH2FVj8EPxczE5dTp4yZ6Dee9S5BP2XbSFcKUeDKFeQNMjraEV4iQQz8xGdsgJHAFgrvU4kPSw34KoJchZQYma3EZKbghwbT2CeU"/>
        <s v="tdNE8TK9G6EefHzS7j9kWHn62sn4yA1AzBmMqEfW7B2xFfudDNcs1KTGpnjw2A1jdeafp6ss1cxW4qrizSs4RuLo53XCxyepQ77UckoZTfLxpsHwBNo96mqpvXhZvXA9wQMKmUvAjf4MzA"/>
        <s v="tdNEHvb7ZycsZkov132aFxKLzyWRrH3UzBx1fV1UJKBETZnEU6g2TktDWVbAkc4aQHvYC7nnsFxH93uyWaqvxPCzEyUqFccBij54sGSwvshuLDnVxA1T4j2zQr8gZr9ZfhGzVBVB8ornDg"/>
        <m/>
      </sharedItems>
    </cacheField>
    <cacheField name="from" numFmtId="0">
      <sharedItems containsBlank="1" count="10">
        <s v="tdNDjfWWKZALACQPCLFaTGoAtdDoWEXeNuYRZZWChC4wbSeUb5tVn3UiSsVKt913A7btERefMS4GoEMkQWTs4TsGh21as6ecNP2HKfW6foxmXhwscDKdUEXqZRkCXJvNfz8wBjNXJcHaoK"/>
        <s v="tdNDx8htq6yao9NC7SnwGh8KGGs9iwtDy9HfYHk512hH2FVj8EPxczE5dTp4yZ6Dee9S5BP2XbSFcKUeDKFeQNMjraEV4iQQz8xGdsgJHAFgrvU4kPSw34KoJchZQYma3EZKbghwbT2CeU"/>
        <s v="tdNEMETdggLfdoTmQ4smQhDm1ZFHLPAgRxtujM767VuWBiLU3xL1r7QXhYv1gLmw92T9oJLtgN55SyerY9ui8hFx9Z8kHfbA3vYEBSAefGHHSnPGkJJhTKefUZiprFvscNXx2NQNh7B2kV"/>
        <s v="tdNE67M9Snd4KF2Y3xgCQ8Res8LQxckx5xpraAAfa9uv1P6GUy8a6QkXbLnN8PknuKDknEerRCYGujScean4D88v5sJcTqiuqnr2666Csc8QhpUW6MeXq7MgEha7S6ttxB3bY9MMVrDNBB"/>
        <s v="tdNE8TK9G6EefHzS7j9kWHn62sn4yA1AzBmMqEfW7B2xFfudDNcs1KTGpnjw2A1jdeafp6ss1cxW4qrizSs4RuLo53XCxyepQ77UckoZTfLxpsHwBNo96mqpvXhZvXA9wQMKmUvAjf4MzA"/>
        <s v="tdNE9VLqu6SPbsc8jBUxadqWQ1oQ2jEgEoGp8Jxg9fQHWFnBHryJxFNT77ehMMXfb29C6WP1CZCYFRGezNBfp8Nvq19JBASxkMuUvyU4MrrFTKL7noQKuCtMWzNjNL8FuJbAKFk81d46XT"/>
        <s v="tdNDhVXjumSA4iVQD48uPAHa8EkbLGNCPrBx2wrJSyVGS7f3v3MrpMPswHS9CQwDH5DKfuBzQrje6H7PSP52XJSnGeWYrHKhXNAZ3jbgFnzxWFg6j3XgqgDqePxvsgpbHFY1PAeoVQ2TgG"/>
        <s v="tdNECCk2p5Zt72YoVYjoRYhSQbnHHDVWSUYViYiBPP6NTWYbxLZ2xXP9d1Jj2sjjCiMaRRmFzxKTj6jVftsVMvP5Nuve1dgZ9suZeJwkvDsM1XiFKmLyytYNMpwoVtzyeBSgFK2JQWMHjb"/>
        <s v="tdNDowo9QyHT1KnkQP4173GMona8MdrQ7UbG1E1BxdUgyxAMh9KK2w9tfcBcfxWgQzH29JtZpFZ7MekRtytfR5no6RjdnKdgrx5PByfEXhtZzX3HX74qVEL33qnDfdf6gqMpCxjjgLHECY"/>
        <m/>
      </sharedItems>
    </cacheField>
    <cacheField name="isDelegation" numFmtId="0">
      <sharedItems containsBlank="1"/>
    </cacheField>
    <cacheField name="mem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5"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3"/>
    <x v="2"/>
    <x v="2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4"/>
    <x v="3"/>
    <x v="3"/>
    <s v="tdNE8TK9G6EefHzS7j9kWHn62sn4yA1AzBmMqEfW7B2xFfudDNcs1KTGpnjw2A1jdeafp6ss1cxW4qrizSs4RuLo53XCxyepQ77UckoZTfLxpsHwBNo96mqpvXhZvXA9wQMKmUvAjf4MzA"/>
    <b v="0"/>
    <s v="2pn2ah78GsSX48v2GiqShtqAXQQx1qi8aaMj4UU5jMcJATXDmpfnZc"/>
  </r>
  <r>
    <x v="3"/>
    <x v="2"/>
    <x v="4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3"/>
    <x v="2"/>
    <x v="5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3"/>
    <x v="2"/>
    <x v="5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3"/>
    <x v="2"/>
    <x v="5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0"/>
    <s v="tdNE9VLqu6SPbsc8jBUxadqWQ1oQ2jEgEoGp8Jxg9fQHWFnBHryJxFNT77ehMMXfb29C6WP1CZCYFRGezNBfp8Nvq19JBASxkMuUvyU4MrrFTKL7noQKuCtMWzNjNL8FuJbAKFk81d46XT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3"/>
    <x v="2"/>
    <x v="8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3"/>
    <x v="2"/>
    <x v="0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3"/>
    <x v="2"/>
    <x v="9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7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6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10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10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10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8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8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6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0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7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2"/>
    <x v="0"/>
    <x v="10"/>
    <s v="tdNDowo9QyHT1KnkQP4173GMona8MdrQ7UbG1E1BxdUgyxAMh9KK2w9tfcBcfxWgQzH29JtZpFZ7MekRtytfR5no6RjdnKdgrx5PByfEXhtZzX3HX74qVEL33qnDfdf6gqMpCxjjgLHECY"/>
    <b v="0"/>
    <s v="2pn2ah78GsSX48v2GiqShtqAXQQx1qi8aaMj4UU5jMcJATXDmpfnZc"/>
  </r>
  <r>
    <x v="3"/>
    <x v="2"/>
    <x v="7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3"/>
    <x v="2"/>
    <x v="11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3"/>
    <x v="2"/>
    <x v="11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3"/>
    <x v="2"/>
    <x v="12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0"/>
    <x v="0"/>
    <x v="6"/>
    <s v="tdNDhVXjumSA4iVQD48uPAHa8EkbLGNCPrBx2wrJSyVGS7f3v3MrpMPswHS9CQwDH5DKfuBzQrje6H7PSP52XJSnGeWYrHKhXNAZ3jbgFnzxWFg6j3XgqgDqePxvsgpbHFY1PAeoVQ2TgG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5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3"/>
    <s v="tdNDx8htq6yao9NC7SnwGh8KGGs9iwtDy9HfYHk512hH2FVj8EPxczE5dTp4yZ6Dee9S5BP2XbSFcKUeDKFeQNMjraEV4iQQz8xGdsgJHAFgrvU4kPSw34KoJchZQYma3EZKbghwbT2CeU"/>
    <b v="0"/>
    <s v="2pn2ah78GsSX48v2GiqShtqAXQQx1qi8aaMj4UU5jMcJATXDmpfnZc"/>
  </r>
  <r>
    <x v="1"/>
    <x v="1"/>
    <x v="14"/>
    <s v="tdNDx8htq6yao9NC7SnwGh8KGGs9iwtDy9HfYHk512hH2FVj8EPxczE5dTp4yZ6Dee9S5BP2XbSFcKUeDKFeQNMjraEV4iQQz8xGdsgJHAFgrvU4kPSw34KoJchZQYma3EZKbghwbT2CeU"/>
    <b v="0"/>
    <s v="2pn2ah78GsSX48v2GiqShtqAXQQx1qi8aaMj4UU5jMcJATXDmpfnZc"/>
  </r>
  <r>
    <x v="4"/>
    <x v="3"/>
    <x v="3"/>
    <s v="tdNE8TK9G6EefHzS7j9kWHn62sn4yA1AzBmMqEfW7B2xFfudDNcs1KTGpnjw2A1jdeafp6ss1cxW4qrizSs4RuLo53XCxyepQ77UckoZTfLxpsHwBNo96mqpvXhZvXA9wQMKmUvAjf4MzA"/>
    <b v="0"/>
    <s v="2pn2ah78GsSX48v2GiqShtqAXQQx1qi8aaMj4UU5jMcJATXDmpfnZc"/>
  </r>
  <r>
    <x v="3"/>
    <x v="2"/>
    <x v="6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0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17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7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9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3"/>
    <x v="2"/>
    <x v="11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3"/>
    <x v="2"/>
    <x v="18"/>
    <s v="tdNE67M9Snd4KF2Y3xgCQ8Res8LQxckx5xpraAAfa9uv1P6GUy8a6QkXbLnN8PknuKDknEerRCYGujScean4D88v5sJcTqiuqnr2666Csc8QhpUW6MeXq7MgEha7S6ttxB3bY9MMVrDNBB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0"/>
    <x v="0"/>
    <x v="0"/>
    <s v="tdNDjfWWKZALACQPCLFaTGoAtdDoWEXeNuYRZZWChC4wbSeUb5tVn3UiSsVKt913A7btERefMS4GoEMkQWTs4TsGh21as6ecNP2HKfW6foxmXhwscDKdUEXqZRkCXJvNfz8wBjNXJcHaoK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3"/>
    <x v="2"/>
    <x v="16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0"/>
    <x v="0"/>
    <x v="7"/>
    <s v="tdNECCk2p5Zt72YoVYjoRYhSQbnHHDVWSUYViYiBPP6NTWYbxLZ2xXP9d1Jj2sjjCiMaRRmFzxKTj6jVftsVMvP5Nuve1dgZ9suZeJwkvDsM1XiFKmLyytYNMpwoVtzyeBSgFK2JQWMHjb"/>
    <b v="0"/>
    <s v="2pn2ah78GsSX48v2GiqShtqAXQQx1qi8aaMj4UU5jMcJATXDmpfnZc"/>
  </r>
  <r>
    <x v="3"/>
    <x v="2"/>
    <x v="11"/>
    <s v="tdNE67M9Snd4KF2Y3xgCQ8Res8LQxckx5xpraAAfa9uv1P6GUy8a6QkXbLnN8PknuKDknEerRCYGujScean4D88v5sJcTqiuqnr2666Csc8QhpUW6MeXq7MgEha7S6ttxB3bY9MMVrDNBB"/>
    <b v="0"/>
    <s v="2pn2ah78GsSX48v2GiqShtqAXQQx1qi8aaMj4UU5jMcJATXDmpfnZc"/>
  </r>
  <r>
    <x v="3"/>
    <x v="2"/>
    <x v="11"/>
    <s v="tdNE67M9Snd4KF2Y3xgCQ8Res8LQxckx5xpraAAfa9uv1P6GUy8a6QkXbLnN8PknuKDknEerRCYGujScean4D88v5sJcTqiuqnr2666Csc8QhpUW6MeXq7MgEha7S6ttxB3bY9MMVrDNBB"/>
    <b v="0"/>
    <s v="2pn2ah78GsSX48v2GiqShtqAXQQx1qi8aaMj4UU5jMcJATXDmpfnZc"/>
  </r>
  <r>
    <x v="2"/>
    <x v="1"/>
    <x v="2"/>
    <s v="tdNEMETdggLfdoTmQ4smQhDm1ZFHLPAgRxtujM767VuWBiLU3xL1r7QXhYv1gLmw92T9oJLtgN55SyerY9ui8hFx9Z8kHfbA3vYEBSAefGHHSnPGkJJhTKefUZiprFvscNXx2NQNh7B2kV"/>
    <b v="0"/>
    <s v="2pn2ah78GsSX48v2GiqShtqAXQQx1qi8aaMj4UU5jMcJATXDmpfnZc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6"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1"/>
    <x v="1"/>
    <x v="1"/>
    <x v="1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3"/>
    <x v="2"/>
    <x v="2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4"/>
    <x v="3"/>
    <x v="3"/>
    <x v="4"/>
    <b v="0"/>
    <s v="2pn2ah78GsSX48v2GiqShtqAXQQx1qi8aaMj4UU5jMcJATXDmpfnZc"/>
  </r>
  <r>
    <x v="3"/>
    <x v="2"/>
    <x v="4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3"/>
    <x v="2"/>
    <x v="5"/>
    <x v="3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3"/>
    <x v="2"/>
    <x v="5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3"/>
    <x v="2"/>
    <x v="5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0"/>
    <x v="5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3"/>
    <x v="2"/>
    <x v="8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3"/>
    <x v="2"/>
    <x v="0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3"/>
    <x v="2"/>
    <x v="9"/>
    <x v="3"/>
    <b v="0"/>
    <s v="2pn2ah78GsSX48v2GiqShtqAXQQx1qi8aaMj4UU5jMcJATXDmpfnZc"/>
  </r>
  <r>
    <x v="3"/>
    <x v="2"/>
    <x v="7"/>
    <x v="3"/>
    <b v="0"/>
    <s v="2pn2ah78GsSX48v2GiqShtqAXQQx1qi8aaMj4UU5jMcJATXDmpfnZc"/>
  </r>
  <r>
    <x v="3"/>
    <x v="2"/>
    <x v="6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10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10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10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0"/>
    <x v="0"/>
    <x v="6"/>
    <x v="6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8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8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6"/>
    <x v="3"/>
    <b v="0"/>
    <s v="2pn2ah78GsSX48v2GiqShtqAXQQx1qi8aaMj4UU5jMcJATXDmpfnZc"/>
  </r>
  <r>
    <x v="3"/>
    <x v="2"/>
    <x v="0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7"/>
    <x v="3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2"/>
    <x v="0"/>
    <x v="10"/>
    <x v="8"/>
    <b v="0"/>
    <s v="2pn2ah78GsSX48v2GiqShtqAXQQx1qi8aaMj4UU5jMcJATXDmpfnZc"/>
  </r>
  <r>
    <x v="3"/>
    <x v="2"/>
    <x v="7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3"/>
    <x v="2"/>
    <x v="11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3"/>
    <x v="2"/>
    <x v="11"/>
    <x v="3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3"/>
    <x v="2"/>
    <x v="12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0"/>
    <x v="0"/>
    <x v="6"/>
    <x v="6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3"/>
    <x v="2"/>
    <x v="16"/>
    <x v="3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3"/>
    <x v="2"/>
    <x v="16"/>
    <x v="3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3"/>
    <x v="2"/>
    <x v="16"/>
    <x v="3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3"/>
    <x v="2"/>
    <x v="16"/>
    <x v="3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1"/>
    <x v="1"/>
    <x v="15"/>
    <x v="1"/>
    <b v="0"/>
    <s v="2pn2ah78GsSX48v2GiqShtqAXQQx1qi8aaMj4UU5jMcJATXDmpfnZc"/>
  </r>
  <r>
    <x v="1"/>
    <x v="1"/>
    <x v="1"/>
    <x v="1"/>
    <b v="0"/>
    <s v="2pn2ah78GsSX48v2GiqShtqAXQQx1qi8aaMj4UU5jMcJATXDmpfnZc"/>
  </r>
  <r>
    <x v="1"/>
    <x v="1"/>
    <x v="13"/>
    <x v="1"/>
    <b v="0"/>
    <s v="2pn2ah78GsSX48v2GiqShtqAXQQx1qi8aaMj4UU5jMcJATXDmpfnZc"/>
  </r>
  <r>
    <x v="1"/>
    <x v="1"/>
    <x v="14"/>
    <x v="1"/>
    <b v="0"/>
    <s v="2pn2ah78GsSX48v2GiqShtqAXQQx1qi8aaMj4UU5jMcJATXDmpfnZc"/>
  </r>
  <r>
    <x v="4"/>
    <x v="3"/>
    <x v="3"/>
    <x v="4"/>
    <b v="0"/>
    <s v="2pn2ah78GsSX48v2GiqShtqAXQQx1qi8aaMj4UU5jMcJATXDmpfnZc"/>
  </r>
  <r>
    <x v="3"/>
    <x v="2"/>
    <x v="6"/>
    <x v="3"/>
    <b v="0"/>
    <s v="2pn2ah78GsSX48v2GiqShtqAXQQx1qi8aaMj4UU5jMcJATXDmpfnZc"/>
  </r>
  <r>
    <x v="3"/>
    <x v="2"/>
    <x v="0"/>
    <x v="3"/>
    <b v="0"/>
    <s v="2pn2ah78GsSX48v2GiqShtqAXQQx1qi8aaMj4UU5jMcJATXDmpfnZc"/>
  </r>
  <r>
    <x v="3"/>
    <x v="2"/>
    <x v="17"/>
    <x v="3"/>
    <b v="0"/>
    <s v="2pn2ah78GsSX48v2GiqShtqAXQQx1qi8aaMj4UU5jMcJATXDmpfnZc"/>
  </r>
  <r>
    <x v="3"/>
    <x v="2"/>
    <x v="7"/>
    <x v="3"/>
    <b v="0"/>
    <s v="2pn2ah78GsSX48v2GiqShtqAXQQx1qi8aaMj4UU5jMcJATXDmpfnZc"/>
  </r>
  <r>
    <x v="3"/>
    <x v="2"/>
    <x v="9"/>
    <x v="3"/>
    <b v="0"/>
    <s v="2pn2ah78GsSX48v2GiqShtqAXQQx1qi8aaMj4UU5jMcJATXDmpfnZc"/>
  </r>
  <r>
    <x v="2"/>
    <x v="1"/>
    <x v="2"/>
    <x v="2"/>
    <b v="0"/>
    <s v="2pn2ah78GsSX48v2GiqShtqAXQQx1qi8aaMj4UU5jMcJATXDmpfnZc"/>
  </r>
  <r>
    <x v="3"/>
    <x v="2"/>
    <x v="11"/>
    <x v="3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3"/>
    <x v="2"/>
    <x v="18"/>
    <x v="3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0"/>
    <x v="0"/>
    <x v="0"/>
    <x v="0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3"/>
    <x v="2"/>
    <x v="16"/>
    <x v="3"/>
    <b v="0"/>
    <s v="2pn2ah78GsSX48v2GiqShtqAXQQx1qi8aaMj4UU5jMcJATXDmpfnZc"/>
  </r>
  <r>
    <x v="2"/>
    <x v="1"/>
    <x v="2"/>
    <x v="2"/>
    <b v="0"/>
    <s v="2pn2ah78GsSX48v2GiqShtqAXQQx1qi8aaMj4UU5jMcJATXDmpfnZc"/>
  </r>
  <r>
    <x v="3"/>
    <x v="2"/>
    <x v="16"/>
    <x v="3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2"/>
    <x v="1"/>
    <x v="2"/>
    <x v="2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0"/>
    <x v="0"/>
    <x v="7"/>
    <x v="7"/>
    <b v="0"/>
    <s v="2pn2ah78GsSX48v2GiqShtqAXQQx1qi8aaMj4UU5jMcJATXDmpfnZc"/>
  </r>
  <r>
    <x v="3"/>
    <x v="2"/>
    <x v="11"/>
    <x v="3"/>
    <b v="0"/>
    <s v="2pn2ah78GsSX48v2GiqShtqAXQQx1qi8aaMj4UU5jMcJATXDmpfnZc"/>
  </r>
  <r>
    <x v="3"/>
    <x v="2"/>
    <x v="11"/>
    <x v="3"/>
    <b v="0"/>
    <s v="2pn2ah78GsSX48v2GiqShtqAXQQx1qi8aaMj4UU5jMcJATXDmpfnZc"/>
  </r>
  <r>
    <x v="2"/>
    <x v="1"/>
    <x v="2"/>
    <x v="2"/>
    <b v="0"/>
    <s v="2pn2ah78GsSX48v2GiqShtqAXQQx1qi8aaMj4UU5jMcJATXDmpfnZc"/>
  </r>
  <r>
    <x v="5"/>
    <x v="4"/>
    <x v="19"/>
    <x v="9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65:D69" firstHeaderRow="0" firstDataRow="1" firstDataCol="1"/>
  <pivotFields count="6">
    <pivotField dataField="1" showAll="0">
      <items count="7">
        <item h="1" x="0"/>
        <item x="2"/>
        <item x="1"/>
        <item x="4"/>
        <item x="3"/>
        <item h="1" x="5"/>
        <item t="default"/>
      </items>
    </pivotField>
    <pivotField axis="axisRow" showAll="0">
      <items count="6">
        <item h="1" x="0"/>
        <item x="1"/>
        <item x="3"/>
        <item x="2"/>
        <item h="1" x="4"/>
        <item t="default"/>
      </items>
    </pivotField>
    <pivotField dataField="1" showAll="0"/>
    <pivotField dataField="1"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to" fld="2" subtotal="count" baseField="0" baseItem="0"/>
    <dataField name="Count of from" fld="3" subtotal="count" baseField="0" baseItem="0"/>
    <dataField name="Average of amount" fld="0" subtotal="average" baseField="0" baseItem="0"/>
  </dataField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57:D63" firstHeaderRow="0" firstDataRow="1" firstDataCol="1"/>
  <pivotFields count="6">
    <pivotField axis="axisRow" showAll="0">
      <items count="7">
        <item x="0"/>
        <item x="2"/>
        <item x="1"/>
        <item x="4"/>
        <item x="3"/>
        <item h="1" x="5"/>
        <item t="default"/>
      </items>
    </pivotField>
    <pivotField dataField="1" showAll="0">
      <items count="6">
        <item x="0"/>
        <item x="1"/>
        <item x="3"/>
        <item x="2"/>
        <item h="1" x="4"/>
        <item t="default"/>
      </items>
    </pivotField>
    <pivotField dataField="1"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to" fld="2" subtotal="count" baseField="0" baseItem="0"/>
    <dataField name="Count of from" fld="3" subtotal="count" baseField="0" baseItem="0"/>
    <dataField name="Average of fee" fld="1" subtotal="average" baseField="0" baseItem="0"/>
  </dataFields>
  <chartFormats count="20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2"/>
          </reference>
          <reference field="0" count="1" selected="0">
            <x v="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2"/>
          </reference>
          <reference field="0" count="1" selected="0">
            <x v="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2"/>
          </reference>
          <reference field="0" count="1" selected="0">
            <x v="3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2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7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8:D53" firstHeaderRow="0" firstDataRow="1" firstDataCol="1"/>
  <pivotFields count="6">
    <pivotField dataField="1" showAll="0"/>
    <pivotField axis="axisRow" showAll="0">
      <items count="6">
        <item x="0"/>
        <item x="1"/>
        <item x="3"/>
        <item x="2"/>
        <item h="1" x="4"/>
        <item t="default"/>
      </items>
    </pivotField>
    <pivotField dataField="1" showAll="0"/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to" fld="2" subtotal="count" baseField="0" baseItem="0"/>
    <dataField name="Count of from" fld="3" subtotal="count" baseField="0" baseItem="0"/>
    <dataField name="Sum of amount" fld="0" baseField="0" baseItem="0"/>
  </dataFields>
  <chartFormats count="18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6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4:D44" firstHeaderRow="0" firstDataRow="1" firstDataCol="1"/>
  <pivotFields count="6">
    <pivotField dataField="1" showAll="0"/>
    <pivotField dataField="1" showAll="0">
      <items count="6">
        <item x="0"/>
        <item x="1"/>
        <item x="3"/>
        <item x="2"/>
        <item x="4"/>
        <item t="default"/>
      </items>
    </pivotField>
    <pivotField axis="axisRow" showAll="0">
      <items count="21">
        <item x="2"/>
        <item x="6"/>
        <item x="0"/>
        <item x="10"/>
        <item x="4"/>
        <item x="16"/>
        <item x="15"/>
        <item x="13"/>
        <item x="17"/>
        <item x="9"/>
        <item x="7"/>
        <item x="1"/>
        <item x="11"/>
        <item x="12"/>
        <item x="18"/>
        <item x="14"/>
        <item x="3"/>
        <item x="8"/>
        <item x="5"/>
        <item h="1" x="19"/>
        <item t="default"/>
      </items>
    </pivotField>
    <pivotField dataField="1" showAll="0">
      <items count="11">
        <item x="6"/>
        <item x="0"/>
        <item x="8"/>
        <item x="1"/>
        <item x="3"/>
        <item x="4"/>
        <item x="5"/>
        <item x="7"/>
        <item x="2"/>
        <item x="9"/>
        <item t="default"/>
      </items>
    </pivotField>
    <pivotField showAll="0"/>
    <pivotField showAll="0"/>
  </pivotFields>
  <rowFields count="1">
    <field x="2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mount" fld="0" baseField="0" baseItem="0"/>
    <dataField name="Sum of fee" fld="1" baseField="0" baseItem="0"/>
    <dataField name="Count of from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8:D18" firstHeaderRow="0" firstDataRow="1" firstDataCol="1"/>
  <pivotFields count="6">
    <pivotField dataField="1" showAll="0"/>
    <pivotField dataField="1" showAll="0">
      <items count="6">
        <item x="0"/>
        <item x="1"/>
        <item x="3"/>
        <item x="2"/>
        <item x="4"/>
        <item t="default"/>
      </items>
    </pivotField>
    <pivotField dataField="1" multipleItemSelectionAllowed="1" showAll="0">
      <items count="21">
        <item x="2"/>
        <item h="1" x="6"/>
        <item h="1" x="0"/>
        <item h="1" x="10"/>
        <item h="1" x="4"/>
        <item h="1" x="16"/>
        <item h="1" x="15"/>
        <item h="1" x="13"/>
        <item h="1" x="17"/>
        <item h="1" x="9"/>
        <item h="1" x="7"/>
        <item h="1" x="1"/>
        <item h="1" x="11"/>
        <item h="1" x="12"/>
        <item h="1" x="18"/>
        <item h="1" x="14"/>
        <item h="1" x="3"/>
        <item h="1" x="8"/>
        <item h="1" x="5"/>
        <item h="1" x="19"/>
        <item t="default"/>
      </items>
    </pivotField>
    <pivotField axis="axisRow" showAll="0">
      <items count="11">
        <item x="6"/>
        <item x="0"/>
        <item x="8"/>
        <item x="1"/>
        <item x="3"/>
        <item x="4"/>
        <item x="5"/>
        <item x="7"/>
        <item x="2"/>
        <item h="1" x="9"/>
        <item t="default"/>
      </items>
    </pivotField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mount" fld="0" baseField="0" baseItem="0"/>
    <dataField name="Sum of fee" fld="1" baseField="0" baseItem="0"/>
    <dataField name="Count of 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4" firstHeaderRow="0" firstDataRow="1" firstDataCol="0"/>
  <pivotFields count="6">
    <pivotField dataField="1" showAll="0">
      <items count="6">
        <item x="0"/>
        <item x="2"/>
        <item x="1"/>
        <item x="4"/>
        <item x="3"/>
        <item t="default"/>
      </items>
    </pivotField>
    <pivotField dataField="1" showAll="0">
      <items count="5">
        <item x="0"/>
        <item x="1"/>
        <item x="3"/>
        <item x="2"/>
        <item t="default"/>
      </items>
    </pivotField>
    <pivotField dataField="1" showAll="0"/>
    <pivotField dataField="1" showAll="0"/>
    <pivotField showAll="0"/>
    <pivotField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mount" fld="0" subtotal="average" baseField="0" baseItem="0"/>
    <dataField name="Count of to" fld="2" subtotal="count" baseField="0" baseItem="0"/>
    <dataField name="Count of from" fld="3" subtotal="count" baseField="0" baseItem="0"/>
    <dataField name="Average of fee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6"/>
  <sheetViews>
    <sheetView workbookViewId="0">
      <selection activeCell="C5" sqref="C5"/>
    </sheetView>
  </sheetViews>
  <sheetFormatPr baseColWidth="10" defaultRowHeight="16" x14ac:dyDescent="0.2"/>
  <cols>
    <col min="3" max="3" width="156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</v>
      </c>
      <c r="B2">
        <v>0</v>
      </c>
      <c r="C2" t="s">
        <v>6</v>
      </c>
      <c r="D2" t="s">
        <v>6</v>
      </c>
      <c r="E2" t="b">
        <v>0</v>
      </c>
      <c r="F2" t="s">
        <v>7</v>
      </c>
    </row>
    <row r="3" spans="1:6" x14ac:dyDescent="0.2">
      <c r="A3">
        <v>0</v>
      </c>
      <c r="B3">
        <v>0</v>
      </c>
      <c r="C3" t="s">
        <v>6</v>
      </c>
      <c r="D3" t="s">
        <v>6</v>
      </c>
      <c r="E3" t="b">
        <v>0</v>
      </c>
      <c r="F3" t="s">
        <v>7</v>
      </c>
    </row>
    <row r="4" spans="1:6" x14ac:dyDescent="0.2">
      <c r="A4">
        <v>0</v>
      </c>
      <c r="B4">
        <v>0</v>
      </c>
      <c r="C4" t="s">
        <v>6</v>
      </c>
      <c r="D4" t="s">
        <v>6</v>
      </c>
      <c r="E4" t="b">
        <v>0</v>
      </c>
      <c r="F4" t="s">
        <v>7</v>
      </c>
    </row>
    <row r="5" spans="1:6" x14ac:dyDescent="0.2">
      <c r="A5">
        <v>0</v>
      </c>
      <c r="B5">
        <v>0</v>
      </c>
      <c r="C5" t="s">
        <v>6</v>
      </c>
      <c r="D5" t="s">
        <v>6</v>
      </c>
      <c r="E5" t="b">
        <v>0</v>
      </c>
      <c r="F5" t="s">
        <v>7</v>
      </c>
    </row>
    <row r="6" spans="1:6" x14ac:dyDescent="0.2">
      <c r="A6">
        <v>0</v>
      </c>
      <c r="B6">
        <v>0</v>
      </c>
      <c r="C6" t="s">
        <v>6</v>
      </c>
      <c r="D6" t="s">
        <v>6</v>
      </c>
      <c r="E6" t="b">
        <v>0</v>
      </c>
      <c r="F6" t="s">
        <v>7</v>
      </c>
    </row>
    <row r="7" spans="1:6" x14ac:dyDescent="0.2">
      <c r="A7">
        <v>0</v>
      </c>
      <c r="B7">
        <v>0</v>
      </c>
      <c r="C7" t="s">
        <v>6</v>
      </c>
      <c r="D7" t="s">
        <v>6</v>
      </c>
      <c r="E7" t="b">
        <v>0</v>
      </c>
      <c r="F7" t="s">
        <v>7</v>
      </c>
    </row>
    <row r="8" spans="1:6" x14ac:dyDescent="0.2">
      <c r="A8">
        <v>2</v>
      </c>
      <c r="B8">
        <v>1</v>
      </c>
      <c r="C8" t="s">
        <v>8</v>
      </c>
      <c r="D8" t="s">
        <v>9</v>
      </c>
      <c r="E8" t="b">
        <v>0</v>
      </c>
      <c r="F8" t="s">
        <v>7</v>
      </c>
    </row>
    <row r="9" spans="1:6" x14ac:dyDescent="0.2">
      <c r="A9">
        <v>1</v>
      </c>
      <c r="B9">
        <v>1</v>
      </c>
      <c r="C9" t="s">
        <v>10</v>
      </c>
      <c r="D9" t="s">
        <v>11</v>
      </c>
      <c r="E9" t="b">
        <v>0</v>
      </c>
      <c r="F9" t="s">
        <v>7</v>
      </c>
    </row>
    <row r="10" spans="1:6" x14ac:dyDescent="0.2">
      <c r="A10">
        <v>1</v>
      </c>
      <c r="B10">
        <v>1</v>
      </c>
      <c r="C10" t="s">
        <v>10</v>
      </c>
      <c r="D10" t="s">
        <v>11</v>
      </c>
      <c r="E10" t="b">
        <v>0</v>
      </c>
      <c r="F10" t="s">
        <v>7</v>
      </c>
    </row>
    <row r="11" spans="1:6" x14ac:dyDescent="0.2">
      <c r="A11">
        <v>0</v>
      </c>
      <c r="B11">
        <v>0</v>
      </c>
      <c r="C11" t="s">
        <v>6</v>
      </c>
      <c r="D11" t="s">
        <v>6</v>
      </c>
      <c r="E11" t="b">
        <v>0</v>
      </c>
      <c r="F11" t="s">
        <v>7</v>
      </c>
    </row>
    <row r="12" spans="1:6" x14ac:dyDescent="0.2">
      <c r="A12">
        <v>0</v>
      </c>
      <c r="B12">
        <v>0</v>
      </c>
      <c r="C12" t="s">
        <v>6</v>
      </c>
      <c r="D12" t="s">
        <v>6</v>
      </c>
      <c r="E12" t="b">
        <v>0</v>
      </c>
      <c r="F12" t="s">
        <v>7</v>
      </c>
    </row>
    <row r="13" spans="1:6" x14ac:dyDescent="0.2">
      <c r="A13">
        <v>0</v>
      </c>
      <c r="B13">
        <v>0</v>
      </c>
      <c r="C13" t="s">
        <v>6</v>
      </c>
      <c r="D13" t="s">
        <v>6</v>
      </c>
      <c r="E13" t="b">
        <v>0</v>
      </c>
      <c r="F13" t="s">
        <v>7</v>
      </c>
    </row>
    <row r="14" spans="1:6" x14ac:dyDescent="0.2">
      <c r="A14">
        <v>100</v>
      </c>
      <c r="B14">
        <v>10</v>
      </c>
      <c r="C14" t="s">
        <v>10</v>
      </c>
      <c r="D14" t="s">
        <v>12</v>
      </c>
      <c r="E14" t="b">
        <v>0</v>
      </c>
      <c r="F14" t="s">
        <v>7</v>
      </c>
    </row>
    <row r="15" spans="1:6" x14ac:dyDescent="0.2">
      <c r="A15">
        <v>0</v>
      </c>
      <c r="B15">
        <v>0</v>
      </c>
      <c r="C15" t="s">
        <v>6</v>
      </c>
      <c r="D15" t="s">
        <v>6</v>
      </c>
      <c r="E15" t="b">
        <v>0</v>
      </c>
      <c r="F15" t="s">
        <v>7</v>
      </c>
    </row>
    <row r="16" spans="1:6" x14ac:dyDescent="0.2">
      <c r="A16">
        <v>0</v>
      </c>
      <c r="B16">
        <v>0</v>
      </c>
      <c r="C16" t="s">
        <v>6</v>
      </c>
      <c r="D16" t="s">
        <v>6</v>
      </c>
      <c r="E16" t="b">
        <v>0</v>
      </c>
      <c r="F16" t="s">
        <v>7</v>
      </c>
    </row>
    <row r="17" spans="1:6" x14ac:dyDescent="0.2">
      <c r="A17">
        <v>0</v>
      </c>
      <c r="B17">
        <v>0</v>
      </c>
      <c r="C17" t="s">
        <v>6</v>
      </c>
      <c r="D17" t="s">
        <v>6</v>
      </c>
      <c r="E17" t="b">
        <v>0</v>
      </c>
      <c r="F17" t="s">
        <v>7</v>
      </c>
    </row>
    <row r="18" spans="1:6" x14ac:dyDescent="0.2">
      <c r="A18">
        <v>20</v>
      </c>
      <c r="B18">
        <v>5</v>
      </c>
      <c r="C18" t="s">
        <v>13</v>
      </c>
      <c r="D18" t="s">
        <v>14</v>
      </c>
      <c r="E18" t="b">
        <v>0</v>
      </c>
      <c r="F18" t="s">
        <v>7</v>
      </c>
    </row>
    <row r="19" spans="1:6" x14ac:dyDescent="0.2">
      <c r="A19">
        <v>100</v>
      </c>
      <c r="B19">
        <v>10</v>
      </c>
      <c r="C19" t="s">
        <v>15</v>
      </c>
      <c r="D19" t="s">
        <v>12</v>
      </c>
      <c r="E19" t="b">
        <v>0</v>
      </c>
      <c r="F19" t="s">
        <v>7</v>
      </c>
    </row>
    <row r="20" spans="1:6" x14ac:dyDescent="0.2">
      <c r="A20">
        <v>0</v>
      </c>
      <c r="B20">
        <v>0</v>
      </c>
      <c r="C20" t="s">
        <v>6</v>
      </c>
      <c r="D20" t="s">
        <v>6</v>
      </c>
      <c r="E20" t="b">
        <v>0</v>
      </c>
      <c r="F20" t="s">
        <v>7</v>
      </c>
    </row>
    <row r="21" spans="1:6" x14ac:dyDescent="0.2">
      <c r="A21">
        <v>0</v>
      </c>
      <c r="B21">
        <v>0</v>
      </c>
      <c r="C21" t="s">
        <v>6</v>
      </c>
      <c r="D21" t="s">
        <v>6</v>
      </c>
      <c r="E21" t="b">
        <v>0</v>
      </c>
      <c r="F21" t="s">
        <v>7</v>
      </c>
    </row>
    <row r="22" spans="1:6" x14ac:dyDescent="0.2">
      <c r="A22">
        <v>0</v>
      </c>
      <c r="B22">
        <v>0</v>
      </c>
      <c r="C22" t="s">
        <v>6</v>
      </c>
      <c r="D22" t="s">
        <v>6</v>
      </c>
      <c r="E22" t="b">
        <v>0</v>
      </c>
      <c r="F22" t="s">
        <v>7</v>
      </c>
    </row>
    <row r="23" spans="1:6" x14ac:dyDescent="0.2">
      <c r="A23">
        <v>0</v>
      </c>
      <c r="B23">
        <v>0</v>
      </c>
      <c r="C23" t="s">
        <v>6</v>
      </c>
      <c r="D23" t="s">
        <v>6</v>
      </c>
      <c r="E23" t="b">
        <v>0</v>
      </c>
      <c r="F23" t="s">
        <v>7</v>
      </c>
    </row>
    <row r="24" spans="1:6" x14ac:dyDescent="0.2">
      <c r="A24">
        <v>0</v>
      </c>
      <c r="B24">
        <v>0</v>
      </c>
      <c r="C24" t="s">
        <v>6</v>
      </c>
      <c r="D24" t="s">
        <v>6</v>
      </c>
      <c r="E24" t="b">
        <v>0</v>
      </c>
      <c r="F24" t="s">
        <v>7</v>
      </c>
    </row>
    <row r="25" spans="1:6" x14ac:dyDescent="0.2">
      <c r="A25">
        <v>0</v>
      </c>
      <c r="B25">
        <v>0</v>
      </c>
      <c r="C25" t="s">
        <v>6</v>
      </c>
      <c r="D25" t="s">
        <v>6</v>
      </c>
      <c r="E25" t="b">
        <v>0</v>
      </c>
      <c r="F25" t="s">
        <v>7</v>
      </c>
    </row>
    <row r="26" spans="1:6" x14ac:dyDescent="0.2">
      <c r="A26">
        <v>0</v>
      </c>
      <c r="B26">
        <v>0</v>
      </c>
      <c r="C26" t="s">
        <v>6</v>
      </c>
      <c r="D26" t="s">
        <v>6</v>
      </c>
      <c r="E26" t="b">
        <v>0</v>
      </c>
      <c r="F26" t="s">
        <v>7</v>
      </c>
    </row>
    <row r="27" spans="1:6" x14ac:dyDescent="0.2">
      <c r="A27">
        <v>0</v>
      </c>
      <c r="B27">
        <v>0</v>
      </c>
      <c r="C27" t="s">
        <v>6</v>
      </c>
      <c r="D27" t="s">
        <v>6</v>
      </c>
      <c r="E27" t="b">
        <v>0</v>
      </c>
      <c r="F27" t="s">
        <v>7</v>
      </c>
    </row>
    <row r="28" spans="1:6" x14ac:dyDescent="0.2">
      <c r="A28">
        <v>0</v>
      </c>
      <c r="B28">
        <v>0</v>
      </c>
      <c r="C28" t="s">
        <v>6</v>
      </c>
      <c r="D28" t="s">
        <v>6</v>
      </c>
      <c r="E28" t="b">
        <v>0</v>
      </c>
      <c r="F28" t="s">
        <v>7</v>
      </c>
    </row>
    <row r="29" spans="1:6" x14ac:dyDescent="0.2">
      <c r="A29">
        <v>0</v>
      </c>
      <c r="B29">
        <v>0</v>
      </c>
      <c r="C29" t="s">
        <v>6</v>
      </c>
      <c r="D29" t="s">
        <v>6</v>
      </c>
      <c r="E29" t="b">
        <v>0</v>
      </c>
      <c r="F29" t="s">
        <v>7</v>
      </c>
    </row>
    <row r="30" spans="1:6" x14ac:dyDescent="0.2">
      <c r="A30">
        <v>0</v>
      </c>
      <c r="B30">
        <v>0</v>
      </c>
      <c r="C30" t="s">
        <v>6</v>
      </c>
      <c r="D30" t="s">
        <v>6</v>
      </c>
      <c r="E30" t="b">
        <v>0</v>
      </c>
      <c r="F30" t="s">
        <v>7</v>
      </c>
    </row>
    <row r="31" spans="1:6" x14ac:dyDescent="0.2">
      <c r="A31">
        <v>0</v>
      </c>
      <c r="B31">
        <v>0</v>
      </c>
      <c r="C31" t="s">
        <v>6</v>
      </c>
      <c r="D31" t="s">
        <v>6</v>
      </c>
      <c r="E31" t="b">
        <v>0</v>
      </c>
      <c r="F31" t="s">
        <v>7</v>
      </c>
    </row>
    <row r="32" spans="1:6" x14ac:dyDescent="0.2">
      <c r="A32">
        <v>0</v>
      </c>
      <c r="B32">
        <v>0</v>
      </c>
      <c r="C32" t="s">
        <v>6</v>
      </c>
      <c r="D32" t="s">
        <v>6</v>
      </c>
      <c r="E32" t="b">
        <v>0</v>
      </c>
      <c r="F32" t="s">
        <v>7</v>
      </c>
    </row>
    <row r="33" spans="1:6" x14ac:dyDescent="0.2">
      <c r="A33">
        <v>0</v>
      </c>
      <c r="B33">
        <v>0</v>
      </c>
      <c r="C33" t="s">
        <v>6</v>
      </c>
      <c r="D33" t="s">
        <v>6</v>
      </c>
      <c r="E33" t="b">
        <v>0</v>
      </c>
      <c r="F33" t="s">
        <v>7</v>
      </c>
    </row>
    <row r="34" spans="1:6" x14ac:dyDescent="0.2">
      <c r="A34">
        <v>0</v>
      </c>
      <c r="B34">
        <v>0</v>
      </c>
      <c r="C34" t="s">
        <v>6</v>
      </c>
      <c r="D34" t="s">
        <v>6</v>
      </c>
      <c r="E34" t="b">
        <v>0</v>
      </c>
      <c r="F34" t="s">
        <v>7</v>
      </c>
    </row>
    <row r="35" spans="1:6" x14ac:dyDescent="0.2">
      <c r="A35">
        <v>0</v>
      </c>
      <c r="B35">
        <v>0</v>
      </c>
      <c r="C35" t="s">
        <v>6</v>
      </c>
      <c r="D35" t="s">
        <v>6</v>
      </c>
      <c r="E35" t="b">
        <v>0</v>
      </c>
      <c r="F35" t="s">
        <v>7</v>
      </c>
    </row>
    <row r="36" spans="1:6" x14ac:dyDescent="0.2">
      <c r="A36">
        <v>0</v>
      </c>
      <c r="B36">
        <v>0</v>
      </c>
      <c r="C36" t="s">
        <v>6</v>
      </c>
      <c r="D36" t="s">
        <v>6</v>
      </c>
      <c r="E36" t="b">
        <v>0</v>
      </c>
      <c r="F36" t="s">
        <v>7</v>
      </c>
    </row>
    <row r="37" spans="1:6" x14ac:dyDescent="0.2">
      <c r="A37">
        <v>0</v>
      </c>
      <c r="B37">
        <v>0</v>
      </c>
      <c r="C37" t="s">
        <v>6</v>
      </c>
      <c r="D37" t="s">
        <v>6</v>
      </c>
      <c r="E37" t="b">
        <v>0</v>
      </c>
      <c r="F37" t="s">
        <v>7</v>
      </c>
    </row>
    <row r="38" spans="1:6" x14ac:dyDescent="0.2">
      <c r="A38">
        <v>0</v>
      </c>
      <c r="B38">
        <v>0</v>
      </c>
      <c r="C38" t="s">
        <v>6</v>
      </c>
      <c r="D38" t="s">
        <v>6</v>
      </c>
      <c r="E38" t="b">
        <v>0</v>
      </c>
      <c r="F38" t="s">
        <v>7</v>
      </c>
    </row>
    <row r="39" spans="1:6" x14ac:dyDescent="0.2">
      <c r="A39">
        <v>0</v>
      </c>
      <c r="B39">
        <v>0</v>
      </c>
      <c r="C39" t="s">
        <v>6</v>
      </c>
      <c r="D39" t="s">
        <v>6</v>
      </c>
      <c r="E39" t="b">
        <v>0</v>
      </c>
      <c r="F39" t="s">
        <v>7</v>
      </c>
    </row>
    <row r="40" spans="1:6" x14ac:dyDescent="0.2">
      <c r="A40">
        <v>0</v>
      </c>
      <c r="B40">
        <v>0</v>
      </c>
      <c r="C40" t="s">
        <v>6</v>
      </c>
      <c r="D40" t="s">
        <v>6</v>
      </c>
      <c r="E40" t="b">
        <v>0</v>
      </c>
      <c r="F40" t="s">
        <v>7</v>
      </c>
    </row>
    <row r="41" spans="1:6" x14ac:dyDescent="0.2">
      <c r="A41">
        <v>0</v>
      </c>
      <c r="B41">
        <v>0</v>
      </c>
      <c r="C41" t="s">
        <v>6</v>
      </c>
      <c r="D41" t="s">
        <v>6</v>
      </c>
      <c r="E41" t="b">
        <v>0</v>
      </c>
      <c r="F41" t="s">
        <v>7</v>
      </c>
    </row>
    <row r="42" spans="1:6" x14ac:dyDescent="0.2">
      <c r="A42">
        <v>0</v>
      </c>
      <c r="B42">
        <v>0</v>
      </c>
      <c r="C42" t="s">
        <v>6</v>
      </c>
      <c r="D42" t="s">
        <v>6</v>
      </c>
      <c r="E42" t="b">
        <v>0</v>
      </c>
      <c r="F42" t="s">
        <v>7</v>
      </c>
    </row>
    <row r="43" spans="1:6" x14ac:dyDescent="0.2">
      <c r="A43">
        <v>0</v>
      </c>
      <c r="B43">
        <v>0</v>
      </c>
      <c r="C43" t="s">
        <v>6</v>
      </c>
      <c r="D43" t="s">
        <v>6</v>
      </c>
      <c r="E43" t="b">
        <v>0</v>
      </c>
      <c r="F43" t="s">
        <v>7</v>
      </c>
    </row>
    <row r="44" spans="1:6" x14ac:dyDescent="0.2">
      <c r="A44">
        <v>0</v>
      </c>
      <c r="B44">
        <v>0</v>
      </c>
      <c r="C44" t="s">
        <v>6</v>
      </c>
      <c r="D44" t="s">
        <v>6</v>
      </c>
      <c r="E44" t="b">
        <v>0</v>
      </c>
      <c r="F44" t="s">
        <v>7</v>
      </c>
    </row>
    <row r="45" spans="1:6" x14ac:dyDescent="0.2">
      <c r="A45">
        <v>0</v>
      </c>
      <c r="B45">
        <v>0</v>
      </c>
      <c r="C45" t="s">
        <v>6</v>
      </c>
      <c r="D45" t="s">
        <v>6</v>
      </c>
      <c r="E45" t="b">
        <v>0</v>
      </c>
      <c r="F45" t="s">
        <v>7</v>
      </c>
    </row>
    <row r="46" spans="1:6" x14ac:dyDescent="0.2">
      <c r="A46">
        <v>0</v>
      </c>
      <c r="B46">
        <v>0</v>
      </c>
      <c r="C46" t="s">
        <v>6</v>
      </c>
      <c r="D46" t="s">
        <v>6</v>
      </c>
      <c r="E46" t="b">
        <v>0</v>
      </c>
      <c r="F46" t="s">
        <v>7</v>
      </c>
    </row>
    <row r="47" spans="1:6" x14ac:dyDescent="0.2">
      <c r="A47">
        <v>0</v>
      </c>
      <c r="B47">
        <v>0</v>
      </c>
      <c r="C47" t="s">
        <v>6</v>
      </c>
      <c r="D47" t="s">
        <v>6</v>
      </c>
      <c r="E47" t="b">
        <v>0</v>
      </c>
      <c r="F47" t="s">
        <v>7</v>
      </c>
    </row>
    <row r="48" spans="1:6" x14ac:dyDescent="0.2">
      <c r="A48">
        <v>0</v>
      </c>
      <c r="B48">
        <v>0</v>
      </c>
      <c r="C48" t="s">
        <v>6</v>
      </c>
      <c r="D48" t="s">
        <v>6</v>
      </c>
      <c r="E48" t="b">
        <v>0</v>
      </c>
      <c r="F48" t="s">
        <v>7</v>
      </c>
    </row>
    <row r="49" spans="1:6" x14ac:dyDescent="0.2">
      <c r="A49">
        <v>0</v>
      </c>
      <c r="B49">
        <v>0</v>
      </c>
      <c r="C49" t="s">
        <v>6</v>
      </c>
      <c r="D49" t="s">
        <v>6</v>
      </c>
      <c r="E49" t="b">
        <v>0</v>
      </c>
      <c r="F49" t="s">
        <v>7</v>
      </c>
    </row>
    <row r="50" spans="1:6" x14ac:dyDescent="0.2">
      <c r="A50">
        <v>0</v>
      </c>
      <c r="B50">
        <v>0</v>
      </c>
      <c r="C50" t="s">
        <v>6</v>
      </c>
      <c r="D50" t="s">
        <v>6</v>
      </c>
      <c r="E50" t="b">
        <v>0</v>
      </c>
      <c r="F50" t="s">
        <v>7</v>
      </c>
    </row>
    <row r="51" spans="1:6" x14ac:dyDescent="0.2">
      <c r="A51">
        <v>0</v>
      </c>
      <c r="B51">
        <v>0</v>
      </c>
      <c r="C51" t="s">
        <v>6</v>
      </c>
      <c r="D51" t="s">
        <v>6</v>
      </c>
      <c r="E51" t="b">
        <v>0</v>
      </c>
      <c r="F51" t="s">
        <v>7</v>
      </c>
    </row>
    <row r="52" spans="1:6" x14ac:dyDescent="0.2">
      <c r="A52">
        <v>0</v>
      </c>
      <c r="B52">
        <v>0</v>
      </c>
      <c r="C52" t="s">
        <v>6</v>
      </c>
      <c r="D52" t="s">
        <v>6</v>
      </c>
      <c r="E52" t="b">
        <v>0</v>
      </c>
      <c r="F52" t="s">
        <v>7</v>
      </c>
    </row>
    <row r="53" spans="1:6" x14ac:dyDescent="0.2">
      <c r="A53">
        <v>0</v>
      </c>
      <c r="B53">
        <v>0</v>
      </c>
      <c r="C53" t="s">
        <v>6</v>
      </c>
      <c r="D53" t="s">
        <v>6</v>
      </c>
      <c r="E53" t="b">
        <v>0</v>
      </c>
      <c r="F53" t="s">
        <v>7</v>
      </c>
    </row>
    <row r="54" spans="1:6" x14ac:dyDescent="0.2">
      <c r="A54">
        <v>0</v>
      </c>
      <c r="B54">
        <v>0</v>
      </c>
      <c r="C54" t="s">
        <v>6</v>
      </c>
      <c r="D54" t="s">
        <v>6</v>
      </c>
      <c r="E54" t="b">
        <v>0</v>
      </c>
      <c r="F54" t="s">
        <v>7</v>
      </c>
    </row>
    <row r="55" spans="1:6" x14ac:dyDescent="0.2">
      <c r="A55">
        <v>0</v>
      </c>
      <c r="B55">
        <v>0</v>
      </c>
      <c r="C55" t="s">
        <v>6</v>
      </c>
      <c r="D55" t="s">
        <v>6</v>
      </c>
      <c r="E55" t="b">
        <v>0</v>
      </c>
      <c r="F55" t="s">
        <v>7</v>
      </c>
    </row>
    <row r="56" spans="1:6" x14ac:dyDescent="0.2">
      <c r="A56">
        <v>0</v>
      </c>
      <c r="B56">
        <v>0</v>
      </c>
      <c r="C56" t="s">
        <v>6</v>
      </c>
      <c r="D56" t="s">
        <v>6</v>
      </c>
      <c r="E56" t="b">
        <v>0</v>
      </c>
      <c r="F56" t="s">
        <v>7</v>
      </c>
    </row>
    <row r="57" spans="1:6" x14ac:dyDescent="0.2">
      <c r="A57">
        <v>0</v>
      </c>
      <c r="B57">
        <v>0</v>
      </c>
      <c r="C57" t="s">
        <v>6</v>
      </c>
      <c r="D57" t="s">
        <v>6</v>
      </c>
      <c r="E57" t="b">
        <v>0</v>
      </c>
      <c r="F57" t="s">
        <v>7</v>
      </c>
    </row>
    <row r="58" spans="1:6" x14ac:dyDescent="0.2">
      <c r="A58">
        <v>0</v>
      </c>
      <c r="B58">
        <v>0</v>
      </c>
      <c r="C58" t="s">
        <v>6</v>
      </c>
      <c r="D58" t="s">
        <v>6</v>
      </c>
      <c r="E58" t="b">
        <v>0</v>
      </c>
      <c r="F58" t="s">
        <v>7</v>
      </c>
    </row>
    <row r="59" spans="1:6" x14ac:dyDescent="0.2">
      <c r="A59">
        <v>0</v>
      </c>
      <c r="B59">
        <v>0</v>
      </c>
      <c r="C59" t="s">
        <v>6</v>
      </c>
      <c r="D59" t="s">
        <v>6</v>
      </c>
      <c r="E59" t="b">
        <v>0</v>
      </c>
      <c r="F59" t="s">
        <v>7</v>
      </c>
    </row>
    <row r="60" spans="1:6" x14ac:dyDescent="0.2">
      <c r="A60">
        <v>0</v>
      </c>
      <c r="B60">
        <v>0</v>
      </c>
      <c r="C60" t="s">
        <v>6</v>
      </c>
      <c r="D60" t="s">
        <v>6</v>
      </c>
      <c r="E60" t="b">
        <v>0</v>
      </c>
      <c r="F60" t="s">
        <v>7</v>
      </c>
    </row>
    <row r="61" spans="1:6" x14ac:dyDescent="0.2">
      <c r="A61">
        <v>0</v>
      </c>
      <c r="B61">
        <v>0</v>
      </c>
      <c r="C61" t="s">
        <v>6</v>
      </c>
      <c r="D61" t="s">
        <v>6</v>
      </c>
      <c r="E61" t="b">
        <v>0</v>
      </c>
      <c r="F61" t="s">
        <v>7</v>
      </c>
    </row>
    <row r="62" spans="1:6" x14ac:dyDescent="0.2">
      <c r="A62">
        <v>0</v>
      </c>
      <c r="B62">
        <v>0</v>
      </c>
      <c r="C62" t="s">
        <v>6</v>
      </c>
      <c r="D62" t="s">
        <v>6</v>
      </c>
      <c r="E62" t="b">
        <v>0</v>
      </c>
      <c r="F62" t="s">
        <v>7</v>
      </c>
    </row>
    <row r="63" spans="1:6" x14ac:dyDescent="0.2">
      <c r="A63">
        <v>0</v>
      </c>
      <c r="B63">
        <v>0</v>
      </c>
      <c r="C63" t="s">
        <v>6</v>
      </c>
      <c r="D63" t="s">
        <v>6</v>
      </c>
      <c r="E63" t="b">
        <v>0</v>
      </c>
      <c r="F63" t="s">
        <v>7</v>
      </c>
    </row>
    <row r="64" spans="1:6" x14ac:dyDescent="0.2">
      <c r="A64">
        <v>0</v>
      </c>
      <c r="B64">
        <v>0</v>
      </c>
      <c r="C64" t="s">
        <v>6</v>
      </c>
      <c r="D64" t="s">
        <v>6</v>
      </c>
      <c r="E64" t="b">
        <v>0</v>
      </c>
      <c r="F64" t="s">
        <v>7</v>
      </c>
    </row>
    <row r="65" spans="1:6" x14ac:dyDescent="0.2">
      <c r="A65">
        <v>0</v>
      </c>
      <c r="B65">
        <v>0</v>
      </c>
      <c r="C65" t="s">
        <v>6</v>
      </c>
      <c r="D65" t="s">
        <v>6</v>
      </c>
      <c r="E65" t="b">
        <v>0</v>
      </c>
      <c r="F65" t="s">
        <v>7</v>
      </c>
    </row>
    <row r="66" spans="1:6" x14ac:dyDescent="0.2">
      <c r="A66">
        <v>0</v>
      </c>
      <c r="B66">
        <v>0</v>
      </c>
      <c r="C66" t="s">
        <v>6</v>
      </c>
      <c r="D66" t="s">
        <v>6</v>
      </c>
      <c r="E66" t="b">
        <v>0</v>
      </c>
      <c r="F66" t="s">
        <v>7</v>
      </c>
    </row>
    <row r="67" spans="1:6" x14ac:dyDescent="0.2">
      <c r="A67">
        <v>0</v>
      </c>
      <c r="B67">
        <v>0</v>
      </c>
      <c r="C67" t="s">
        <v>6</v>
      </c>
      <c r="D67" t="s">
        <v>6</v>
      </c>
      <c r="E67" t="b">
        <v>0</v>
      </c>
      <c r="F67" t="s">
        <v>7</v>
      </c>
    </row>
    <row r="68" spans="1:6" x14ac:dyDescent="0.2">
      <c r="A68">
        <v>0</v>
      </c>
      <c r="B68">
        <v>0</v>
      </c>
      <c r="C68" t="s">
        <v>6</v>
      </c>
      <c r="D68" t="s">
        <v>6</v>
      </c>
      <c r="E68" t="b">
        <v>0</v>
      </c>
      <c r="F68" t="s">
        <v>7</v>
      </c>
    </row>
    <row r="69" spans="1:6" x14ac:dyDescent="0.2">
      <c r="A69">
        <v>0</v>
      </c>
      <c r="B69">
        <v>0</v>
      </c>
      <c r="C69" t="s">
        <v>6</v>
      </c>
      <c r="D69" t="s">
        <v>6</v>
      </c>
      <c r="E69" t="b">
        <v>0</v>
      </c>
      <c r="F69" t="s">
        <v>7</v>
      </c>
    </row>
    <row r="70" spans="1:6" x14ac:dyDescent="0.2">
      <c r="A70">
        <v>0</v>
      </c>
      <c r="B70">
        <v>0</v>
      </c>
      <c r="C70" t="s">
        <v>6</v>
      </c>
      <c r="D70" t="s">
        <v>6</v>
      </c>
      <c r="E70" t="b">
        <v>0</v>
      </c>
      <c r="F70" t="s">
        <v>7</v>
      </c>
    </row>
    <row r="71" spans="1:6" x14ac:dyDescent="0.2">
      <c r="A71">
        <v>0</v>
      </c>
      <c r="B71">
        <v>0</v>
      </c>
      <c r="C71" t="s">
        <v>6</v>
      </c>
      <c r="D71" t="s">
        <v>6</v>
      </c>
      <c r="E71" t="b">
        <v>0</v>
      </c>
      <c r="F71" t="s">
        <v>7</v>
      </c>
    </row>
    <row r="72" spans="1:6" x14ac:dyDescent="0.2">
      <c r="A72">
        <v>0</v>
      </c>
      <c r="B72">
        <v>0</v>
      </c>
      <c r="C72" t="s">
        <v>6</v>
      </c>
      <c r="D72" t="s">
        <v>6</v>
      </c>
      <c r="E72" t="b">
        <v>0</v>
      </c>
      <c r="F72" t="s">
        <v>7</v>
      </c>
    </row>
    <row r="73" spans="1:6" x14ac:dyDescent="0.2">
      <c r="A73">
        <v>0</v>
      </c>
      <c r="B73">
        <v>0</v>
      </c>
      <c r="C73" t="s">
        <v>6</v>
      </c>
      <c r="D73" t="s">
        <v>6</v>
      </c>
      <c r="E73" t="b">
        <v>0</v>
      </c>
      <c r="F73" t="s">
        <v>7</v>
      </c>
    </row>
    <row r="74" spans="1:6" x14ac:dyDescent="0.2">
      <c r="A74">
        <v>0</v>
      </c>
      <c r="B74">
        <v>0</v>
      </c>
      <c r="C74" t="s">
        <v>6</v>
      </c>
      <c r="D74" t="s">
        <v>6</v>
      </c>
      <c r="E74" t="b">
        <v>0</v>
      </c>
      <c r="F74" t="s">
        <v>7</v>
      </c>
    </row>
    <row r="75" spans="1:6" x14ac:dyDescent="0.2">
      <c r="A75">
        <v>0</v>
      </c>
      <c r="B75">
        <v>0</v>
      </c>
      <c r="C75" t="s">
        <v>6</v>
      </c>
      <c r="D75" t="s">
        <v>6</v>
      </c>
      <c r="E75" t="b">
        <v>0</v>
      </c>
      <c r="F75" t="s">
        <v>7</v>
      </c>
    </row>
    <row r="76" spans="1:6" x14ac:dyDescent="0.2">
      <c r="A76">
        <v>0</v>
      </c>
      <c r="B76">
        <v>0</v>
      </c>
      <c r="C76" t="s">
        <v>6</v>
      </c>
      <c r="D76" t="s">
        <v>6</v>
      </c>
      <c r="E76" t="b">
        <v>0</v>
      </c>
      <c r="F76" t="s">
        <v>7</v>
      </c>
    </row>
    <row r="77" spans="1:6" x14ac:dyDescent="0.2">
      <c r="A77">
        <v>0</v>
      </c>
      <c r="B77">
        <v>0</v>
      </c>
      <c r="C77" t="s">
        <v>6</v>
      </c>
      <c r="D77" t="s">
        <v>6</v>
      </c>
      <c r="E77" t="b">
        <v>0</v>
      </c>
      <c r="F77" t="s">
        <v>7</v>
      </c>
    </row>
    <row r="78" spans="1:6" x14ac:dyDescent="0.2">
      <c r="A78">
        <v>100</v>
      </c>
      <c r="B78">
        <v>10</v>
      </c>
      <c r="C78" t="s">
        <v>16</v>
      </c>
      <c r="D78" t="s">
        <v>12</v>
      </c>
      <c r="E78" t="b">
        <v>0</v>
      </c>
      <c r="F78" t="s">
        <v>7</v>
      </c>
    </row>
    <row r="79" spans="1:6" x14ac:dyDescent="0.2">
      <c r="A79">
        <v>0</v>
      </c>
      <c r="B79">
        <v>0</v>
      </c>
      <c r="C79" t="s">
        <v>6</v>
      </c>
      <c r="D79" t="s">
        <v>17</v>
      </c>
      <c r="E79" t="b">
        <v>0</v>
      </c>
      <c r="F79" t="s">
        <v>7</v>
      </c>
    </row>
    <row r="80" spans="1:6" x14ac:dyDescent="0.2">
      <c r="A80">
        <v>0</v>
      </c>
      <c r="B80">
        <v>0</v>
      </c>
      <c r="C80" t="s">
        <v>6</v>
      </c>
      <c r="D80" t="s">
        <v>17</v>
      </c>
      <c r="E80" t="b">
        <v>0</v>
      </c>
      <c r="F80" t="s">
        <v>7</v>
      </c>
    </row>
    <row r="81" spans="1:6" x14ac:dyDescent="0.2">
      <c r="A81">
        <v>0</v>
      </c>
      <c r="B81">
        <v>0</v>
      </c>
      <c r="C81" t="s">
        <v>6</v>
      </c>
      <c r="D81" t="s">
        <v>17</v>
      </c>
      <c r="E81" t="b">
        <v>0</v>
      </c>
      <c r="F81" t="s">
        <v>7</v>
      </c>
    </row>
    <row r="82" spans="1:6" x14ac:dyDescent="0.2">
      <c r="A82">
        <v>0</v>
      </c>
      <c r="B82">
        <v>0</v>
      </c>
      <c r="C82" t="s">
        <v>6</v>
      </c>
      <c r="D82" t="s">
        <v>17</v>
      </c>
      <c r="E82" t="b">
        <v>0</v>
      </c>
      <c r="F82" t="s">
        <v>7</v>
      </c>
    </row>
    <row r="83" spans="1:6" x14ac:dyDescent="0.2">
      <c r="A83">
        <v>0</v>
      </c>
      <c r="B83">
        <v>0</v>
      </c>
      <c r="C83" t="s">
        <v>6</v>
      </c>
      <c r="D83" t="s">
        <v>17</v>
      </c>
      <c r="E83" t="b">
        <v>0</v>
      </c>
      <c r="F83" t="s">
        <v>7</v>
      </c>
    </row>
    <row r="84" spans="1:6" x14ac:dyDescent="0.2">
      <c r="A84">
        <v>0</v>
      </c>
      <c r="B84">
        <v>0</v>
      </c>
      <c r="C84" t="s">
        <v>6</v>
      </c>
      <c r="D84" t="s">
        <v>6</v>
      </c>
      <c r="E84" t="b">
        <v>0</v>
      </c>
      <c r="F84" t="s">
        <v>7</v>
      </c>
    </row>
    <row r="85" spans="1:6" x14ac:dyDescent="0.2">
      <c r="A85">
        <v>0</v>
      </c>
      <c r="B85">
        <v>0</v>
      </c>
      <c r="C85" t="s">
        <v>6</v>
      </c>
      <c r="D85" t="s">
        <v>6</v>
      </c>
      <c r="E85" t="b">
        <v>0</v>
      </c>
      <c r="F85" t="s">
        <v>7</v>
      </c>
    </row>
    <row r="86" spans="1:6" x14ac:dyDescent="0.2">
      <c r="A86">
        <v>100</v>
      </c>
      <c r="B86">
        <v>10</v>
      </c>
      <c r="C86" t="s">
        <v>16</v>
      </c>
      <c r="D86" t="s">
        <v>12</v>
      </c>
      <c r="E86" t="b">
        <v>0</v>
      </c>
      <c r="F86" t="s">
        <v>7</v>
      </c>
    </row>
    <row r="87" spans="1:6" x14ac:dyDescent="0.2">
      <c r="A87">
        <v>0</v>
      </c>
      <c r="B87">
        <v>0</v>
      </c>
      <c r="C87" t="s">
        <v>18</v>
      </c>
      <c r="D87" t="s">
        <v>18</v>
      </c>
      <c r="E87" t="b">
        <v>0</v>
      </c>
      <c r="F87" t="s">
        <v>7</v>
      </c>
    </row>
    <row r="88" spans="1:6" x14ac:dyDescent="0.2">
      <c r="A88">
        <v>0</v>
      </c>
      <c r="B88">
        <v>0</v>
      </c>
      <c r="C88" t="s">
        <v>6</v>
      </c>
      <c r="D88" t="s">
        <v>6</v>
      </c>
      <c r="E88" t="b">
        <v>0</v>
      </c>
      <c r="F88" t="s">
        <v>7</v>
      </c>
    </row>
    <row r="89" spans="1:6" x14ac:dyDescent="0.2">
      <c r="A89">
        <v>0</v>
      </c>
      <c r="B89">
        <v>0</v>
      </c>
      <c r="C89" t="s">
        <v>18</v>
      </c>
      <c r="D89" t="s">
        <v>18</v>
      </c>
      <c r="E89" t="b">
        <v>0</v>
      </c>
      <c r="F89" t="s">
        <v>7</v>
      </c>
    </row>
    <row r="90" spans="1:6" x14ac:dyDescent="0.2">
      <c r="A90">
        <v>0</v>
      </c>
      <c r="B90">
        <v>0</v>
      </c>
      <c r="C90" t="s">
        <v>6</v>
      </c>
      <c r="D90" t="s">
        <v>6</v>
      </c>
      <c r="E90" t="b">
        <v>0</v>
      </c>
      <c r="F90" t="s">
        <v>7</v>
      </c>
    </row>
    <row r="91" spans="1:6" x14ac:dyDescent="0.2">
      <c r="A91">
        <v>0</v>
      </c>
      <c r="B91">
        <v>0</v>
      </c>
      <c r="C91" t="s">
        <v>18</v>
      </c>
      <c r="D91" t="s">
        <v>18</v>
      </c>
      <c r="E91" t="b">
        <v>0</v>
      </c>
      <c r="F91" t="s">
        <v>7</v>
      </c>
    </row>
    <row r="92" spans="1:6" x14ac:dyDescent="0.2">
      <c r="A92">
        <v>0</v>
      </c>
      <c r="B92">
        <v>0</v>
      </c>
      <c r="C92" t="s">
        <v>6</v>
      </c>
      <c r="D92" t="s">
        <v>6</v>
      </c>
      <c r="E92" t="b">
        <v>0</v>
      </c>
      <c r="F92" t="s">
        <v>7</v>
      </c>
    </row>
    <row r="93" spans="1:6" x14ac:dyDescent="0.2">
      <c r="A93">
        <v>0</v>
      </c>
      <c r="B93">
        <v>0</v>
      </c>
      <c r="C93" t="s">
        <v>18</v>
      </c>
      <c r="D93" t="s">
        <v>18</v>
      </c>
      <c r="E93" t="b">
        <v>0</v>
      </c>
      <c r="F93" t="s">
        <v>7</v>
      </c>
    </row>
    <row r="94" spans="1:6" x14ac:dyDescent="0.2">
      <c r="A94">
        <v>0</v>
      </c>
      <c r="B94">
        <v>0</v>
      </c>
      <c r="C94" t="s">
        <v>6</v>
      </c>
      <c r="D94" t="s">
        <v>6</v>
      </c>
      <c r="E94" t="b">
        <v>0</v>
      </c>
      <c r="F94" t="s">
        <v>7</v>
      </c>
    </row>
    <row r="95" spans="1:6" x14ac:dyDescent="0.2">
      <c r="A95">
        <v>0</v>
      </c>
      <c r="B95">
        <v>0</v>
      </c>
      <c r="C95" t="s">
        <v>18</v>
      </c>
      <c r="D95" t="s">
        <v>18</v>
      </c>
      <c r="E95" t="b">
        <v>0</v>
      </c>
      <c r="F95" t="s">
        <v>7</v>
      </c>
    </row>
    <row r="96" spans="1:6" x14ac:dyDescent="0.2">
      <c r="A96">
        <v>0</v>
      </c>
      <c r="B96">
        <v>0</v>
      </c>
      <c r="C96" t="s">
        <v>6</v>
      </c>
      <c r="D96" t="s">
        <v>6</v>
      </c>
      <c r="E96" t="b">
        <v>0</v>
      </c>
      <c r="F96" t="s">
        <v>7</v>
      </c>
    </row>
    <row r="97" spans="1:6" x14ac:dyDescent="0.2">
      <c r="A97">
        <v>0</v>
      </c>
      <c r="B97">
        <v>0</v>
      </c>
      <c r="C97" t="s">
        <v>18</v>
      </c>
      <c r="D97" t="s">
        <v>18</v>
      </c>
      <c r="E97" t="b">
        <v>0</v>
      </c>
      <c r="F97" t="s">
        <v>7</v>
      </c>
    </row>
    <row r="98" spans="1:6" x14ac:dyDescent="0.2">
      <c r="A98">
        <v>0</v>
      </c>
      <c r="B98">
        <v>0</v>
      </c>
      <c r="C98" t="s">
        <v>6</v>
      </c>
      <c r="D98" t="s">
        <v>6</v>
      </c>
      <c r="E98" t="b">
        <v>0</v>
      </c>
      <c r="F98" t="s">
        <v>7</v>
      </c>
    </row>
    <row r="99" spans="1:6" x14ac:dyDescent="0.2">
      <c r="A99">
        <v>0</v>
      </c>
      <c r="B99">
        <v>0</v>
      </c>
      <c r="C99" t="s">
        <v>18</v>
      </c>
      <c r="D99" t="s">
        <v>18</v>
      </c>
      <c r="E99" t="b">
        <v>0</v>
      </c>
      <c r="F99" t="s">
        <v>7</v>
      </c>
    </row>
    <row r="100" spans="1:6" x14ac:dyDescent="0.2">
      <c r="A100">
        <v>0</v>
      </c>
      <c r="B100">
        <v>0</v>
      </c>
      <c r="C100" t="s">
        <v>6</v>
      </c>
      <c r="D100" t="s">
        <v>6</v>
      </c>
      <c r="E100" t="b">
        <v>0</v>
      </c>
      <c r="F100" t="s">
        <v>7</v>
      </c>
    </row>
    <row r="101" spans="1:6" x14ac:dyDescent="0.2">
      <c r="A101">
        <v>0</v>
      </c>
      <c r="B101">
        <v>0</v>
      </c>
      <c r="C101" t="s">
        <v>18</v>
      </c>
      <c r="D101" t="s">
        <v>18</v>
      </c>
      <c r="E101" t="b">
        <v>0</v>
      </c>
      <c r="F101" t="s">
        <v>7</v>
      </c>
    </row>
    <row r="102" spans="1:6" x14ac:dyDescent="0.2">
      <c r="A102">
        <v>0</v>
      </c>
      <c r="B102">
        <v>0</v>
      </c>
      <c r="C102" t="s">
        <v>6</v>
      </c>
      <c r="D102" t="s">
        <v>6</v>
      </c>
      <c r="E102" t="b">
        <v>0</v>
      </c>
      <c r="F102" t="s">
        <v>7</v>
      </c>
    </row>
    <row r="103" spans="1:6" x14ac:dyDescent="0.2">
      <c r="A103">
        <v>0</v>
      </c>
      <c r="B103">
        <v>0</v>
      </c>
      <c r="C103" t="s">
        <v>18</v>
      </c>
      <c r="D103" t="s">
        <v>18</v>
      </c>
      <c r="E103" t="b">
        <v>0</v>
      </c>
      <c r="F103" t="s">
        <v>7</v>
      </c>
    </row>
    <row r="104" spans="1:6" x14ac:dyDescent="0.2">
      <c r="A104">
        <v>0</v>
      </c>
      <c r="B104">
        <v>0</v>
      </c>
      <c r="C104" t="s">
        <v>6</v>
      </c>
      <c r="D104" t="s">
        <v>6</v>
      </c>
      <c r="E104" t="b">
        <v>0</v>
      </c>
      <c r="F104" t="s">
        <v>7</v>
      </c>
    </row>
    <row r="105" spans="1:6" x14ac:dyDescent="0.2">
      <c r="A105">
        <v>0</v>
      </c>
      <c r="B105">
        <v>0</v>
      </c>
      <c r="C105" t="s">
        <v>18</v>
      </c>
      <c r="D105" t="s">
        <v>18</v>
      </c>
      <c r="E105" t="b">
        <v>0</v>
      </c>
      <c r="F105" t="s">
        <v>7</v>
      </c>
    </row>
    <row r="106" spans="1:6" x14ac:dyDescent="0.2">
      <c r="A106">
        <v>0</v>
      </c>
      <c r="B106">
        <v>0</v>
      </c>
      <c r="C106" t="s">
        <v>6</v>
      </c>
      <c r="D106" t="s">
        <v>6</v>
      </c>
      <c r="E106" t="b">
        <v>0</v>
      </c>
      <c r="F106" t="s">
        <v>7</v>
      </c>
    </row>
    <row r="107" spans="1:6" x14ac:dyDescent="0.2">
      <c r="A107">
        <v>0</v>
      </c>
      <c r="B107">
        <v>0</v>
      </c>
      <c r="C107" t="s">
        <v>18</v>
      </c>
      <c r="D107" t="s">
        <v>18</v>
      </c>
      <c r="E107" t="b">
        <v>0</v>
      </c>
      <c r="F107" t="s">
        <v>7</v>
      </c>
    </row>
    <row r="108" spans="1:6" x14ac:dyDescent="0.2">
      <c r="A108">
        <v>0</v>
      </c>
      <c r="B108">
        <v>0</v>
      </c>
      <c r="C108" t="s">
        <v>6</v>
      </c>
      <c r="D108" t="s">
        <v>6</v>
      </c>
      <c r="E108" t="b">
        <v>0</v>
      </c>
      <c r="F108" t="s">
        <v>7</v>
      </c>
    </row>
    <row r="109" spans="1:6" x14ac:dyDescent="0.2">
      <c r="A109">
        <v>0</v>
      </c>
      <c r="B109">
        <v>0</v>
      </c>
      <c r="C109" t="s">
        <v>18</v>
      </c>
      <c r="D109" t="s">
        <v>18</v>
      </c>
      <c r="E109" t="b">
        <v>0</v>
      </c>
      <c r="F109" t="s">
        <v>7</v>
      </c>
    </row>
    <row r="110" spans="1:6" x14ac:dyDescent="0.2">
      <c r="A110">
        <v>0</v>
      </c>
      <c r="B110">
        <v>0</v>
      </c>
      <c r="C110" t="s">
        <v>6</v>
      </c>
      <c r="D110" t="s">
        <v>6</v>
      </c>
      <c r="E110" t="b">
        <v>0</v>
      </c>
      <c r="F110" t="s">
        <v>7</v>
      </c>
    </row>
    <row r="111" spans="1:6" x14ac:dyDescent="0.2">
      <c r="A111">
        <v>0</v>
      </c>
      <c r="B111">
        <v>0</v>
      </c>
      <c r="C111" t="s">
        <v>18</v>
      </c>
      <c r="D111" t="s">
        <v>18</v>
      </c>
      <c r="E111" t="b">
        <v>0</v>
      </c>
      <c r="F111" t="s">
        <v>7</v>
      </c>
    </row>
    <row r="112" spans="1:6" x14ac:dyDescent="0.2">
      <c r="A112">
        <v>0</v>
      </c>
      <c r="B112">
        <v>0</v>
      </c>
      <c r="C112" t="s">
        <v>6</v>
      </c>
      <c r="D112" t="s">
        <v>6</v>
      </c>
      <c r="E112" t="b">
        <v>0</v>
      </c>
      <c r="F112" t="s">
        <v>7</v>
      </c>
    </row>
    <row r="113" spans="1:6" x14ac:dyDescent="0.2">
      <c r="A113">
        <v>0</v>
      </c>
      <c r="B113">
        <v>0</v>
      </c>
      <c r="C113" t="s">
        <v>18</v>
      </c>
      <c r="D113" t="s">
        <v>18</v>
      </c>
      <c r="E113" t="b">
        <v>0</v>
      </c>
      <c r="F113" t="s">
        <v>7</v>
      </c>
    </row>
    <row r="114" spans="1:6" x14ac:dyDescent="0.2">
      <c r="A114">
        <v>0</v>
      </c>
      <c r="B114">
        <v>0</v>
      </c>
      <c r="C114" t="s">
        <v>6</v>
      </c>
      <c r="D114" t="s">
        <v>6</v>
      </c>
      <c r="E114" t="b">
        <v>0</v>
      </c>
      <c r="F114" t="s">
        <v>7</v>
      </c>
    </row>
    <row r="115" spans="1:6" x14ac:dyDescent="0.2">
      <c r="A115">
        <v>0</v>
      </c>
      <c r="B115">
        <v>0</v>
      </c>
      <c r="C115" t="s">
        <v>18</v>
      </c>
      <c r="D115" t="s">
        <v>18</v>
      </c>
      <c r="E115" t="b">
        <v>0</v>
      </c>
      <c r="F115" t="s">
        <v>7</v>
      </c>
    </row>
    <row r="116" spans="1:6" x14ac:dyDescent="0.2">
      <c r="A116">
        <v>0</v>
      </c>
      <c r="B116">
        <v>0</v>
      </c>
      <c r="C116" t="s">
        <v>6</v>
      </c>
      <c r="D116" t="s">
        <v>6</v>
      </c>
      <c r="E116" t="b">
        <v>0</v>
      </c>
      <c r="F116" t="s">
        <v>7</v>
      </c>
    </row>
    <row r="117" spans="1:6" x14ac:dyDescent="0.2">
      <c r="A117">
        <v>0</v>
      </c>
      <c r="B117">
        <v>0</v>
      </c>
      <c r="C117" t="s">
        <v>18</v>
      </c>
      <c r="D117" t="s">
        <v>18</v>
      </c>
      <c r="E117" t="b">
        <v>0</v>
      </c>
      <c r="F117" t="s">
        <v>7</v>
      </c>
    </row>
    <row r="118" spans="1:6" x14ac:dyDescent="0.2">
      <c r="A118">
        <v>0</v>
      </c>
      <c r="B118">
        <v>0</v>
      </c>
      <c r="C118" t="s">
        <v>6</v>
      </c>
      <c r="D118" t="s">
        <v>6</v>
      </c>
      <c r="E118" t="b">
        <v>0</v>
      </c>
      <c r="F118" t="s">
        <v>7</v>
      </c>
    </row>
    <row r="119" spans="1:6" x14ac:dyDescent="0.2">
      <c r="A119">
        <v>0</v>
      </c>
      <c r="B119">
        <v>0</v>
      </c>
      <c r="C119" t="s">
        <v>18</v>
      </c>
      <c r="D119" t="s">
        <v>18</v>
      </c>
      <c r="E119" t="b">
        <v>0</v>
      </c>
      <c r="F119" t="s">
        <v>7</v>
      </c>
    </row>
    <row r="120" spans="1:6" x14ac:dyDescent="0.2">
      <c r="A120">
        <v>0</v>
      </c>
      <c r="B120">
        <v>0</v>
      </c>
      <c r="C120" t="s">
        <v>6</v>
      </c>
      <c r="D120" t="s">
        <v>6</v>
      </c>
      <c r="E120" t="b">
        <v>0</v>
      </c>
      <c r="F120" t="s">
        <v>7</v>
      </c>
    </row>
    <row r="121" spans="1:6" x14ac:dyDescent="0.2">
      <c r="A121">
        <v>0</v>
      </c>
      <c r="B121">
        <v>0</v>
      </c>
      <c r="C121" t="s">
        <v>6</v>
      </c>
      <c r="D121" t="s">
        <v>6</v>
      </c>
      <c r="E121" t="b">
        <v>0</v>
      </c>
      <c r="F121" t="s">
        <v>7</v>
      </c>
    </row>
    <row r="122" spans="1:6" x14ac:dyDescent="0.2">
      <c r="A122">
        <v>0</v>
      </c>
      <c r="B122">
        <v>0</v>
      </c>
      <c r="C122" t="s">
        <v>6</v>
      </c>
      <c r="D122" t="s">
        <v>6</v>
      </c>
      <c r="E122" t="b">
        <v>0</v>
      </c>
      <c r="F122" t="s">
        <v>7</v>
      </c>
    </row>
    <row r="123" spans="1:6" x14ac:dyDescent="0.2">
      <c r="A123">
        <v>0</v>
      </c>
      <c r="B123">
        <v>0</v>
      </c>
      <c r="C123" t="s">
        <v>6</v>
      </c>
      <c r="D123" t="s">
        <v>6</v>
      </c>
      <c r="E123" t="b">
        <v>0</v>
      </c>
      <c r="F123" t="s">
        <v>7</v>
      </c>
    </row>
    <row r="124" spans="1:6" x14ac:dyDescent="0.2">
      <c r="A124">
        <v>0</v>
      </c>
      <c r="B124">
        <v>0</v>
      </c>
      <c r="C124" t="s">
        <v>6</v>
      </c>
      <c r="D124" t="s">
        <v>6</v>
      </c>
      <c r="E124" t="b">
        <v>0</v>
      </c>
      <c r="F124" t="s">
        <v>7</v>
      </c>
    </row>
    <row r="125" spans="1:6" x14ac:dyDescent="0.2">
      <c r="A125">
        <v>0</v>
      </c>
      <c r="B125">
        <v>0</v>
      </c>
      <c r="C125" t="s">
        <v>6</v>
      </c>
      <c r="D125" t="s">
        <v>6</v>
      </c>
      <c r="E125" t="b">
        <v>0</v>
      </c>
      <c r="F125" t="s">
        <v>7</v>
      </c>
    </row>
    <row r="126" spans="1:6" x14ac:dyDescent="0.2">
      <c r="A126">
        <v>0</v>
      </c>
      <c r="B126">
        <v>0</v>
      </c>
      <c r="C126" t="s">
        <v>6</v>
      </c>
      <c r="D126" t="s">
        <v>6</v>
      </c>
      <c r="E126" t="b">
        <v>0</v>
      </c>
      <c r="F126" t="s">
        <v>7</v>
      </c>
    </row>
    <row r="127" spans="1:6" x14ac:dyDescent="0.2">
      <c r="A127">
        <v>0</v>
      </c>
      <c r="B127">
        <v>0</v>
      </c>
      <c r="C127" t="s">
        <v>6</v>
      </c>
      <c r="D127" t="s">
        <v>6</v>
      </c>
      <c r="E127" t="b">
        <v>0</v>
      </c>
      <c r="F127" t="s">
        <v>7</v>
      </c>
    </row>
    <row r="128" spans="1:6" x14ac:dyDescent="0.2">
      <c r="A128">
        <v>0</v>
      </c>
      <c r="B128">
        <v>0</v>
      </c>
      <c r="C128" t="s">
        <v>6</v>
      </c>
      <c r="D128" t="s">
        <v>6</v>
      </c>
      <c r="E128" t="b">
        <v>0</v>
      </c>
      <c r="F128" t="s">
        <v>7</v>
      </c>
    </row>
    <row r="129" spans="1:6" x14ac:dyDescent="0.2">
      <c r="A129">
        <v>0</v>
      </c>
      <c r="B129">
        <v>0</v>
      </c>
      <c r="C129" t="s">
        <v>6</v>
      </c>
      <c r="D129" t="s">
        <v>6</v>
      </c>
      <c r="E129" t="b">
        <v>0</v>
      </c>
      <c r="F129" t="s">
        <v>7</v>
      </c>
    </row>
    <row r="130" spans="1:6" x14ac:dyDescent="0.2">
      <c r="A130">
        <v>100</v>
      </c>
      <c r="B130">
        <v>10</v>
      </c>
      <c r="C130" t="s">
        <v>16</v>
      </c>
      <c r="D130" t="s">
        <v>12</v>
      </c>
      <c r="E130" t="b">
        <v>0</v>
      </c>
      <c r="F130" t="s">
        <v>7</v>
      </c>
    </row>
    <row r="131" spans="1:6" x14ac:dyDescent="0.2">
      <c r="A131">
        <v>0</v>
      </c>
      <c r="B131">
        <v>0</v>
      </c>
      <c r="C131" t="s">
        <v>18</v>
      </c>
      <c r="D131" t="s">
        <v>18</v>
      </c>
      <c r="E131" t="b">
        <v>0</v>
      </c>
      <c r="F131" t="s">
        <v>7</v>
      </c>
    </row>
    <row r="132" spans="1:6" x14ac:dyDescent="0.2">
      <c r="A132">
        <v>0</v>
      </c>
      <c r="B132">
        <v>0</v>
      </c>
      <c r="C132" t="s">
        <v>6</v>
      </c>
      <c r="D132" t="s">
        <v>6</v>
      </c>
      <c r="E132" t="b">
        <v>0</v>
      </c>
      <c r="F132" t="s">
        <v>7</v>
      </c>
    </row>
    <row r="133" spans="1:6" x14ac:dyDescent="0.2">
      <c r="A133">
        <v>0</v>
      </c>
      <c r="B133">
        <v>0</v>
      </c>
      <c r="C133" t="s">
        <v>19</v>
      </c>
      <c r="D133" t="s">
        <v>19</v>
      </c>
      <c r="E133" t="b">
        <v>0</v>
      </c>
      <c r="F133" t="s">
        <v>7</v>
      </c>
    </row>
    <row r="134" spans="1:6" x14ac:dyDescent="0.2">
      <c r="A134">
        <v>0</v>
      </c>
      <c r="B134">
        <v>0</v>
      </c>
      <c r="C134" t="s">
        <v>19</v>
      </c>
      <c r="D134" t="s">
        <v>19</v>
      </c>
      <c r="E134" t="b">
        <v>0</v>
      </c>
      <c r="F134" t="s">
        <v>7</v>
      </c>
    </row>
    <row r="135" spans="1:6" x14ac:dyDescent="0.2">
      <c r="A135">
        <v>0</v>
      </c>
      <c r="B135">
        <v>0</v>
      </c>
      <c r="C135" t="s">
        <v>19</v>
      </c>
      <c r="D135" t="s">
        <v>19</v>
      </c>
      <c r="E135" t="b">
        <v>0</v>
      </c>
      <c r="F135" t="s">
        <v>7</v>
      </c>
    </row>
    <row r="136" spans="1:6" x14ac:dyDescent="0.2">
      <c r="A136">
        <v>0</v>
      </c>
      <c r="B136">
        <v>0</v>
      </c>
      <c r="C136" t="s">
        <v>19</v>
      </c>
      <c r="D136" t="s">
        <v>19</v>
      </c>
      <c r="E136" t="b">
        <v>0</v>
      </c>
      <c r="F136" t="s">
        <v>7</v>
      </c>
    </row>
    <row r="137" spans="1:6" x14ac:dyDescent="0.2">
      <c r="A137">
        <v>0</v>
      </c>
      <c r="B137">
        <v>0</v>
      </c>
      <c r="C137" t="s">
        <v>19</v>
      </c>
      <c r="D137" t="s">
        <v>19</v>
      </c>
      <c r="E137" t="b">
        <v>0</v>
      </c>
      <c r="F137" t="s">
        <v>7</v>
      </c>
    </row>
    <row r="138" spans="1:6" x14ac:dyDescent="0.2">
      <c r="A138">
        <v>0</v>
      </c>
      <c r="B138">
        <v>0</v>
      </c>
      <c r="C138" t="s">
        <v>19</v>
      </c>
      <c r="D138" t="s">
        <v>19</v>
      </c>
      <c r="E138" t="b">
        <v>0</v>
      </c>
      <c r="F138" t="s">
        <v>7</v>
      </c>
    </row>
    <row r="139" spans="1:6" x14ac:dyDescent="0.2">
      <c r="A139">
        <v>0</v>
      </c>
      <c r="B139">
        <v>0</v>
      </c>
      <c r="C139" t="s">
        <v>19</v>
      </c>
      <c r="D139" t="s">
        <v>19</v>
      </c>
      <c r="E139" t="b">
        <v>0</v>
      </c>
      <c r="F139" t="s">
        <v>7</v>
      </c>
    </row>
    <row r="140" spans="1:6" x14ac:dyDescent="0.2">
      <c r="A140">
        <v>0</v>
      </c>
      <c r="B140">
        <v>0</v>
      </c>
      <c r="C140" t="s">
        <v>19</v>
      </c>
      <c r="D140" t="s">
        <v>19</v>
      </c>
      <c r="E140" t="b">
        <v>0</v>
      </c>
      <c r="F140" t="s">
        <v>7</v>
      </c>
    </row>
    <row r="141" spans="1:6" x14ac:dyDescent="0.2">
      <c r="A141">
        <v>0</v>
      </c>
      <c r="B141">
        <v>0</v>
      </c>
      <c r="C141" t="s">
        <v>19</v>
      </c>
      <c r="D141" t="s">
        <v>19</v>
      </c>
      <c r="E141" t="b">
        <v>0</v>
      </c>
      <c r="F141" t="s">
        <v>7</v>
      </c>
    </row>
    <row r="142" spans="1:6" x14ac:dyDescent="0.2">
      <c r="A142">
        <v>0</v>
      </c>
      <c r="B142">
        <v>0</v>
      </c>
      <c r="C142" t="s">
        <v>19</v>
      </c>
      <c r="D142" t="s">
        <v>19</v>
      </c>
      <c r="E142" t="b">
        <v>0</v>
      </c>
      <c r="F142" t="s">
        <v>7</v>
      </c>
    </row>
    <row r="143" spans="1:6" x14ac:dyDescent="0.2">
      <c r="A143">
        <v>0</v>
      </c>
      <c r="B143">
        <v>0</v>
      </c>
      <c r="C143" t="s">
        <v>19</v>
      </c>
      <c r="D143" t="s">
        <v>19</v>
      </c>
      <c r="E143" t="b">
        <v>0</v>
      </c>
      <c r="F143" t="s">
        <v>7</v>
      </c>
    </row>
    <row r="144" spans="1:6" x14ac:dyDescent="0.2">
      <c r="A144">
        <v>0</v>
      </c>
      <c r="B144">
        <v>0</v>
      </c>
      <c r="C144" t="s">
        <v>19</v>
      </c>
      <c r="D144" t="s">
        <v>19</v>
      </c>
      <c r="E144" t="b">
        <v>0</v>
      </c>
      <c r="F144" t="s">
        <v>7</v>
      </c>
    </row>
    <row r="145" spans="1:6" x14ac:dyDescent="0.2">
      <c r="A145">
        <v>0</v>
      </c>
      <c r="B145">
        <v>0</v>
      </c>
      <c r="C145" t="s">
        <v>19</v>
      </c>
      <c r="D145" t="s">
        <v>19</v>
      </c>
      <c r="E145" t="b">
        <v>0</v>
      </c>
      <c r="F145" t="s">
        <v>7</v>
      </c>
    </row>
    <row r="146" spans="1:6" x14ac:dyDescent="0.2">
      <c r="A146">
        <v>0</v>
      </c>
      <c r="B146">
        <v>0</v>
      </c>
      <c r="C146" t="s">
        <v>19</v>
      </c>
      <c r="D146" t="s">
        <v>19</v>
      </c>
      <c r="E146" t="b">
        <v>0</v>
      </c>
      <c r="F146" t="s">
        <v>7</v>
      </c>
    </row>
    <row r="147" spans="1:6" x14ac:dyDescent="0.2">
      <c r="A147">
        <v>0</v>
      </c>
      <c r="B147">
        <v>0</v>
      </c>
      <c r="C147" t="s">
        <v>19</v>
      </c>
      <c r="D147" t="s">
        <v>19</v>
      </c>
      <c r="E147" t="b">
        <v>0</v>
      </c>
      <c r="F147" t="s">
        <v>7</v>
      </c>
    </row>
    <row r="148" spans="1:6" x14ac:dyDescent="0.2">
      <c r="A148">
        <v>0</v>
      </c>
      <c r="B148">
        <v>0</v>
      </c>
      <c r="C148" t="s">
        <v>19</v>
      </c>
      <c r="D148" t="s">
        <v>19</v>
      </c>
      <c r="E148" t="b">
        <v>0</v>
      </c>
      <c r="F148" t="s">
        <v>7</v>
      </c>
    </row>
    <row r="149" spans="1:6" x14ac:dyDescent="0.2">
      <c r="A149">
        <v>0</v>
      </c>
      <c r="B149">
        <v>0</v>
      </c>
      <c r="C149" t="s">
        <v>19</v>
      </c>
      <c r="D149" t="s">
        <v>19</v>
      </c>
      <c r="E149" t="b">
        <v>0</v>
      </c>
      <c r="F149" t="s">
        <v>7</v>
      </c>
    </row>
    <row r="150" spans="1:6" x14ac:dyDescent="0.2">
      <c r="A150">
        <v>0</v>
      </c>
      <c r="B150">
        <v>0</v>
      </c>
      <c r="C150" t="s">
        <v>19</v>
      </c>
      <c r="D150" t="s">
        <v>19</v>
      </c>
      <c r="E150" t="b">
        <v>0</v>
      </c>
      <c r="F150" t="s">
        <v>7</v>
      </c>
    </row>
    <row r="151" spans="1:6" x14ac:dyDescent="0.2">
      <c r="A151">
        <v>0</v>
      </c>
      <c r="B151">
        <v>0</v>
      </c>
      <c r="C151" t="s">
        <v>19</v>
      </c>
      <c r="D151" t="s">
        <v>19</v>
      </c>
      <c r="E151" t="b">
        <v>0</v>
      </c>
      <c r="F151" t="s">
        <v>7</v>
      </c>
    </row>
    <row r="152" spans="1:6" x14ac:dyDescent="0.2">
      <c r="A152">
        <v>0</v>
      </c>
      <c r="B152">
        <v>0</v>
      </c>
      <c r="C152" t="s">
        <v>19</v>
      </c>
      <c r="D152" t="s">
        <v>19</v>
      </c>
      <c r="E152" t="b">
        <v>0</v>
      </c>
      <c r="F152" t="s">
        <v>7</v>
      </c>
    </row>
    <row r="153" spans="1:6" x14ac:dyDescent="0.2">
      <c r="A153">
        <v>0</v>
      </c>
      <c r="B153">
        <v>0</v>
      </c>
      <c r="C153" t="s">
        <v>19</v>
      </c>
      <c r="D153" t="s">
        <v>19</v>
      </c>
      <c r="E153" t="b">
        <v>0</v>
      </c>
      <c r="F153" t="s">
        <v>7</v>
      </c>
    </row>
    <row r="154" spans="1:6" x14ac:dyDescent="0.2">
      <c r="A154">
        <v>0</v>
      </c>
      <c r="B154">
        <v>0</v>
      </c>
      <c r="C154" t="s">
        <v>19</v>
      </c>
      <c r="D154" t="s">
        <v>19</v>
      </c>
      <c r="E154" t="b">
        <v>0</v>
      </c>
      <c r="F154" t="s">
        <v>7</v>
      </c>
    </row>
    <row r="155" spans="1:6" x14ac:dyDescent="0.2">
      <c r="A155">
        <v>0</v>
      </c>
      <c r="B155">
        <v>0</v>
      </c>
      <c r="C155" t="s">
        <v>19</v>
      </c>
      <c r="D155" t="s">
        <v>19</v>
      </c>
      <c r="E155" t="b">
        <v>0</v>
      </c>
      <c r="F155" t="s">
        <v>7</v>
      </c>
    </row>
    <row r="156" spans="1:6" x14ac:dyDescent="0.2">
      <c r="A156">
        <v>0</v>
      </c>
      <c r="B156">
        <v>0</v>
      </c>
      <c r="C156" t="s">
        <v>19</v>
      </c>
      <c r="D156" t="s">
        <v>19</v>
      </c>
      <c r="E156" t="b">
        <v>0</v>
      </c>
      <c r="F156" t="s">
        <v>7</v>
      </c>
    </row>
    <row r="157" spans="1:6" x14ac:dyDescent="0.2">
      <c r="A157">
        <v>0</v>
      </c>
      <c r="B157">
        <v>0</v>
      </c>
      <c r="C157" t="s">
        <v>19</v>
      </c>
      <c r="D157" t="s">
        <v>19</v>
      </c>
      <c r="E157" t="b">
        <v>0</v>
      </c>
      <c r="F157" t="s">
        <v>7</v>
      </c>
    </row>
    <row r="158" spans="1:6" x14ac:dyDescent="0.2">
      <c r="A158">
        <v>0</v>
      </c>
      <c r="B158">
        <v>0</v>
      </c>
      <c r="C158" t="s">
        <v>19</v>
      </c>
      <c r="D158" t="s">
        <v>19</v>
      </c>
      <c r="E158" t="b">
        <v>0</v>
      </c>
      <c r="F158" t="s">
        <v>7</v>
      </c>
    </row>
    <row r="159" spans="1:6" x14ac:dyDescent="0.2">
      <c r="A159">
        <v>0</v>
      </c>
      <c r="B159">
        <v>0</v>
      </c>
      <c r="C159" t="s">
        <v>19</v>
      </c>
      <c r="D159" t="s">
        <v>19</v>
      </c>
      <c r="E159" t="b">
        <v>0</v>
      </c>
      <c r="F159" t="s">
        <v>7</v>
      </c>
    </row>
    <row r="160" spans="1:6" x14ac:dyDescent="0.2">
      <c r="A160">
        <v>0</v>
      </c>
      <c r="B160">
        <v>0</v>
      </c>
      <c r="C160" t="s">
        <v>19</v>
      </c>
      <c r="D160" t="s">
        <v>19</v>
      </c>
      <c r="E160" t="b">
        <v>0</v>
      </c>
      <c r="F160" t="s">
        <v>7</v>
      </c>
    </row>
    <row r="161" spans="1:6" x14ac:dyDescent="0.2">
      <c r="A161">
        <v>0</v>
      </c>
      <c r="B161">
        <v>0</v>
      </c>
      <c r="C161" t="s">
        <v>19</v>
      </c>
      <c r="D161" t="s">
        <v>19</v>
      </c>
      <c r="E161" t="b">
        <v>0</v>
      </c>
      <c r="F161" t="s">
        <v>7</v>
      </c>
    </row>
    <row r="162" spans="1:6" x14ac:dyDescent="0.2">
      <c r="A162">
        <v>0</v>
      </c>
      <c r="B162">
        <v>0</v>
      </c>
      <c r="C162" t="s">
        <v>19</v>
      </c>
      <c r="D162" t="s">
        <v>19</v>
      </c>
      <c r="E162" t="b">
        <v>0</v>
      </c>
      <c r="F162" t="s">
        <v>7</v>
      </c>
    </row>
    <row r="163" spans="1:6" x14ac:dyDescent="0.2">
      <c r="A163">
        <v>0</v>
      </c>
      <c r="B163">
        <v>0</v>
      </c>
      <c r="C163" t="s">
        <v>19</v>
      </c>
      <c r="D163" t="s">
        <v>19</v>
      </c>
      <c r="E163" t="b">
        <v>0</v>
      </c>
      <c r="F163" t="s">
        <v>7</v>
      </c>
    </row>
    <row r="164" spans="1:6" x14ac:dyDescent="0.2">
      <c r="A164">
        <v>0</v>
      </c>
      <c r="B164">
        <v>0</v>
      </c>
      <c r="C164" t="s">
        <v>19</v>
      </c>
      <c r="D164" t="s">
        <v>19</v>
      </c>
      <c r="E164" t="b">
        <v>0</v>
      </c>
      <c r="F164" t="s">
        <v>7</v>
      </c>
    </row>
    <row r="165" spans="1:6" x14ac:dyDescent="0.2">
      <c r="A165">
        <v>0</v>
      </c>
      <c r="B165">
        <v>0</v>
      </c>
      <c r="C165" t="s">
        <v>19</v>
      </c>
      <c r="D165" t="s">
        <v>19</v>
      </c>
      <c r="E165" t="b">
        <v>0</v>
      </c>
      <c r="F165" t="s">
        <v>7</v>
      </c>
    </row>
    <row r="166" spans="1:6" x14ac:dyDescent="0.2">
      <c r="A166">
        <v>0</v>
      </c>
      <c r="B166">
        <v>0</v>
      </c>
      <c r="C166" t="s">
        <v>6</v>
      </c>
      <c r="D166" t="s">
        <v>17</v>
      </c>
      <c r="E166" t="b">
        <v>0</v>
      </c>
      <c r="F166" t="s">
        <v>7</v>
      </c>
    </row>
    <row r="167" spans="1:6" x14ac:dyDescent="0.2">
      <c r="A167">
        <v>0</v>
      </c>
      <c r="B167">
        <v>0</v>
      </c>
      <c r="C167" t="s">
        <v>19</v>
      </c>
      <c r="D167" t="s">
        <v>19</v>
      </c>
      <c r="E167" t="b">
        <v>0</v>
      </c>
      <c r="F167" t="s">
        <v>7</v>
      </c>
    </row>
    <row r="168" spans="1:6" x14ac:dyDescent="0.2">
      <c r="A168">
        <v>0</v>
      </c>
      <c r="B168">
        <v>0</v>
      </c>
      <c r="C168" t="s">
        <v>6</v>
      </c>
      <c r="D168" t="s">
        <v>17</v>
      </c>
      <c r="E168" t="b">
        <v>0</v>
      </c>
      <c r="F168" t="s">
        <v>7</v>
      </c>
    </row>
    <row r="169" spans="1:6" x14ac:dyDescent="0.2">
      <c r="A169">
        <v>0</v>
      </c>
      <c r="B169">
        <v>0</v>
      </c>
      <c r="C169" t="s">
        <v>19</v>
      </c>
      <c r="D169" t="s">
        <v>19</v>
      </c>
      <c r="E169" t="b">
        <v>0</v>
      </c>
      <c r="F169" t="s">
        <v>7</v>
      </c>
    </row>
    <row r="170" spans="1:6" x14ac:dyDescent="0.2">
      <c r="A170">
        <v>0</v>
      </c>
      <c r="B170">
        <v>0</v>
      </c>
      <c r="C170" t="s">
        <v>6</v>
      </c>
      <c r="D170" t="s">
        <v>17</v>
      </c>
      <c r="E170" t="b">
        <v>0</v>
      </c>
      <c r="F170" t="s">
        <v>7</v>
      </c>
    </row>
    <row r="171" spans="1:6" x14ac:dyDescent="0.2">
      <c r="A171">
        <v>0</v>
      </c>
      <c r="B171">
        <v>0</v>
      </c>
      <c r="C171" t="s">
        <v>19</v>
      </c>
      <c r="D171" t="s">
        <v>19</v>
      </c>
      <c r="E171" t="b">
        <v>0</v>
      </c>
      <c r="F171" t="s">
        <v>7</v>
      </c>
    </row>
    <row r="172" spans="1:6" x14ac:dyDescent="0.2">
      <c r="A172">
        <v>0</v>
      </c>
      <c r="B172">
        <v>0</v>
      </c>
      <c r="C172" t="s">
        <v>6</v>
      </c>
      <c r="D172" t="s">
        <v>17</v>
      </c>
      <c r="E172" t="b">
        <v>0</v>
      </c>
      <c r="F172" t="s">
        <v>7</v>
      </c>
    </row>
    <row r="173" spans="1:6" x14ac:dyDescent="0.2">
      <c r="A173">
        <v>0</v>
      </c>
      <c r="B173">
        <v>0</v>
      </c>
      <c r="C173" t="s">
        <v>19</v>
      </c>
      <c r="D173" t="s">
        <v>19</v>
      </c>
      <c r="E173" t="b">
        <v>0</v>
      </c>
      <c r="F173" t="s">
        <v>7</v>
      </c>
    </row>
    <row r="174" spans="1:6" x14ac:dyDescent="0.2">
      <c r="A174">
        <v>0</v>
      </c>
      <c r="B174">
        <v>0</v>
      </c>
      <c r="C174" t="s">
        <v>6</v>
      </c>
      <c r="D174" t="s">
        <v>17</v>
      </c>
      <c r="E174" t="b">
        <v>0</v>
      </c>
      <c r="F174" t="s">
        <v>7</v>
      </c>
    </row>
    <row r="175" spans="1:6" x14ac:dyDescent="0.2">
      <c r="A175">
        <v>0</v>
      </c>
      <c r="B175">
        <v>0</v>
      </c>
      <c r="C175" t="s">
        <v>19</v>
      </c>
      <c r="D175" t="s">
        <v>19</v>
      </c>
      <c r="E175" t="b">
        <v>0</v>
      </c>
      <c r="F175" t="s">
        <v>7</v>
      </c>
    </row>
    <row r="176" spans="1:6" x14ac:dyDescent="0.2">
      <c r="A176">
        <v>0</v>
      </c>
      <c r="B176">
        <v>0</v>
      </c>
      <c r="C176" t="s">
        <v>6</v>
      </c>
      <c r="D176" t="s">
        <v>17</v>
      </c>
      <c r="E176" t="b">
        <v>0</v>
      </c>
      <c r="F176" t="s">
        <v>7</v>
      </c>
    </row>
    <row r="177" spans="1:6" x14ac:dyDescent="0.2">
      <c r="A177">
        <v>0</v>
      </c>
      <c r="B177">
        <v>0</v>
      </c>
      <c r="C177" t="s">
        <v>19</v>
      </c>
      <c r="D177" t="s">
        <v>19</v>
      </c>
      <c r="E177" t="b">
        <v>0</v>
      </c>
      <c r="F177" t="s">
        <v>7</v>
      </c>
    </row>
    <row r="178" spans="1:6" x14ac:dyDescent="0.2">
      <c r="A178">
        <v>0</v>
      </c>
      <c r="B178">
        <v>0</v>
      </c>
      <c r="C178" t="s">
        <v>6</v>
      </c>
      <c r="D178" t="s">
        <v>17</v>
      </c>
      <c r="E178" t="b">
        <v>0</v>
      </c>
      <c r="F178" t="s">
        <v>7</v>
      </c>
    </row>
    <row r="179" spans="1:6" x14ac:dyDescent="0.2">
      <c r="A179">
        <v>0</v>
      </c>
      <c r="B179">
        <v>0</v>
      </c>
      <c r="C179" t="s">
        <v>19</v>
      </c>
      <c r="D179" t="s">
        <v>19</v>
      </c>
      <c r="E179" t="b">
        <v>0</v>
      </c>
      <c r="F179" t="s">
        <v>7</v>
      </c>
    </row>
    <row r="180" spans="1:6" x14ac:dyDescent="0.2">
      <c r="A180">
        <v>0</v>
      </c>
      <c r="B180">
        <v>0</v>
      </c>
      <c r="C180" t="s">
        <v>6</v>
      </c>
      <c r="D180" t="s">
        <v>17</v>
      </c>
      <c r="E180" t="b">
        <v>0</v>
      </c>
      <c r="F180" t="s">
        <v>7</v>
      </c>
    </row>
    <row r="181" spans="1:6" x14ac:dyDescent="0.2">
      <c r="A181">
        <v>0</v>
      </c>
      <c r="B181">
        <v>0</v>
      </c>
      <c r="C181" t="s">
        <v>19</v>
      </c>
      <c r="D181" t="s">
        <v>19</v>
      </c>
      <c r="E181" t="b">
        <v>0</v>
      </c>
      <c r="F181" t="s">
        <v>7</v>
      </c>
    </row>
    <row r="182" spans="1:6" x14ac:dyDescent="0.2">
      <c r="A182">
        <v>0</v>
      </c>
      <c r="B182">
        <v>0</v>
      </c>
      <c r="C182" t="s">
        <v>6</v>
      </c>
      <c r="D182" t="s">
        <v>17</v>
      </c>
      <c r="E182" t="b">
        <v>0</v>
      </c>
      <c r="F182" t="s">
        <v>7</v>
      </c>
    </row>
    <row r="183" spans="1:6" x14ac:dyDescent="0.2">
      <c r="A183">
        <v>0</v>
      </c>
      <c r="B183">
        <v>0</v>
      </c>
      <c r="C183" t="s">
        <v>19</v>
      </c>
      <c r="D183" t="s">
        <v>19</v>
      </c>
      <c r="E183" t="b">
        <v>0</v>
      </c>
      <c r="F183" t="s">
        <v>7</v>
      </c>
    </row>
    <row r="184" spans="1:6" x14ac:dyDescent="0.2">
      <c r="A184">
        <v>0</v>
      </c>
      <c r="B184">
        <v>0</v>
      </c>
      <c r="C184" t="s">
        <v>19</v>
      </c>
      <c r="D184" t="s">
        <v>19</v>
      </c>
      <c r="E184" t="b">
        <v>0</v>
      </c>
      <c r="F184" t="s">
        <v>7</v>
      </c>
    </row>
    <row r="185" spans="1:6" x14ac:dyDescent="0.2">
      <c r="A185">
        <v>0</v>
      </c>
      <c r="B185">
        <v>0</v>
      </c>
      <c r="C185" t="s">
        <v>19</v>
      </c>
      <c r="D185" t="s">
        <v>19</v>
      </c>
      <c r="E185" t="b">
        <v>0</v>
      </c>
      <c r="F185" t="s">
        <v>7</v>
      </c>
    </row>
    <row r="186" spans="1:6" x14ac:dyDescent="0.2">
      <c r="A186">
        <v>0</v>
      </c>
      <c r="B186">
        <v>0</v>
      </c>
      <c r="C186" t="s">
        <v>19</v>
      </c>
      <c r="D186" t="s">
        <v>19</v>
      </c>
      <c r="E186" t="b">
        <v>0</v>
      </c>
      <c r="F186" t="s">
        <v>7</v>
      </c>
    </row>
    <row r="187" spans="1:6" x14ac:dyDescent="0.2">
      <c r="A187">
        <v>0</v>
      </c>
      <c r="B187">
        <v>0</v>
      </c>
      <c r="C187" t="s">
        <v>19</v>
      </c>
      <c r="D187" t="s">
        <v>19</v>
      </c>
      <c r="E187" t="b">
        <v>0</v>
      </c>
      <c r="F187" t="s">
        <v>7</v>
      </c>
    </row>
    <row r="188" spans="1:6" x14ac:dyDescent="0.2">
      <c r="A188">
        <v>0</v>
      </c>
      <c r="B188">
        <v>0</v>
      </c>
      <c r="C188" t="s">
        <v>19</v>
      </c>
      <c r="D188" t="s">
        <v>19</v>
      </c>
      <c r="E188" t="b">
        <v>0</v>
      </c>
      <c r="F188" t="s">
        <v>7</v>
      </c>
    </row>
    <row r="189" spans="1:6" x14ac:dyDescent="0.2">
      <c r="A189">
        <v>0</v>
      </c>
      <c r="B189">
        <v>0</v>
      </c>
      <c r="C189" t="s">
        <v>19</v>
      </c>
      <c r="D189" t="s">
        <v>19</v>
      </c>
      <c r="E189" t="b">
        <v>0</v>
      </c>
      <c r="F189" t="s">
        <v>7</v>
      </c>
    </row>
    <row r="190" spans="1:6" x14ac:dyDescent="0.2">
      <c r="A190">
        <v>0</v>
      </c>
      <c r="B190">
        <v>0</v>
      </c>
      <c r="C190" t="s">
        <v>19</v>
      </c>
      <c r="D190" t="s">
        <v>19</v>
      </c>
      <c r="E190" t="b">
        <v>0</v>
      </c>
      <c r="F190" t="s">
        <v>7</v>
      </c>
    </row>
    <row r="191" spans="1:6" x14ac:dyDescent="0.2">
      <c r="A191">
        <v>0</v>
      </c>
      <c r="B191">
        <v>0</v>
      </c>
      <c r="C191" t="s">
        <v>19</v>
      </c>
      <c r="D191" t="s">
        <v>19</v>
      </c>
      <c r="E191" t="b">
        <v>0</v>
      </c>
      <c r="F191" t="s">
        <v>7</v>
      </c>
    </row>
    <row r="192" spans="1:6" x14ac:dyDescent="0.2">
      <c r="A192">
        <v>0</v>
      </c>
      <c r="B192">
        <v>0</v>
      </c>
      <c r="C192" t="s">
        <v>19</v>
      </c>
      <c r="D192" t="s">
        <v>19</v>
      </c>
      <c r="E192" t="b">
        <v>0</v>
      </c>
      <c r="F192" t="s">
        <v>7</v>
      </c>
    </row>
    <row r="193" spans="1:6" x14ac:dyDescent="0.2">
      <c r="A193">
        <v>100</v>
      </c>
      <c r="B193">
        <v>10</v>
      </c>
      <c r="C193" t="s">
        <v>20</v>
      </c>
      <c r="D193" t="s">
        <v>12</v>
      </c>
      <c r="E193" t="b">
        <v>0</v>
      </c>
      <c r="F193" t="s">
        <v>7</v>
      </c>
    </row>
    <row r="194" spans="1:6" x14ac:dyDescent="0.2">
      <c r="A194">
        <v>0</v>
      </c>
      <c r="B194">
        <v>0</v>
      </c>
      <c r="C194" t="s">
        <v>18</v>
      </c>
      <c r="D194" t="s">
        <v>18</v>
      </c>
      <c r="E194" t="b">
        <v>0</v>
      </c>
      <c r="F194" t="s">
        <v>7</v>
      </c>
    </row>
    <row r="195" spans="1:6" x14ac:dyDescent="0.2">
      <c r="A195">
        <v>0</v>
      </c>
      <c r="B195">
        <v>0</v>
      </c>
      <c r="C195" t="s">
        <v>6</v>
      </c>
      <c r="D195" t="s">
        <v>6</v>
      </c>
      <c r="E195" t="b">
        <v>0</v>
      </c>
      <c r="F195" t="s">
        <v>7</v>
      </c>
    </row>
    <row r="196" spans="1:6" x14ac:dyDescent="0.2">
      <c r="A196">
        <v>0</v>
      </c>
      <c r="B196">
        <v>0</v>
      </c>
      <c r="C196" t="s">
        <v>18</v>
      </c>
      <c r="D196" t="s">
        <v>18</v>
      </c>
      <c r="E196" t="b">
        <v>0</v>
      </c>
      <c r="F196" t="s">
        <v>7</v>
      </c>
    </row>
    <row r="197" spans="1:6" x14ac:dyDescent="0.2">
      <c r="A197">
        <v>0</v>
      </c>
      <c r="B197">
        <v>0</v>
      </c>
      <c r="C197" t="s">
        <v>6</v>
      </c>
      <c r="D197" t="s">
        <v>6</v>
      </c>
      <c r="E197" t="b">
        <v>0</v>
      </c>
      <c r="F197" t="s">
        <v>7</v>
      </c>
    </row>
    <row r="198" spans="1:6" x14ac:dyDescent="0.2">
      <c r="A198">
        <v>0</v>
      </c>
      <c r="B198">
        <v>0</v>
      </c>
      <c r="C198" t="s">
        <v>18</v>
      </c>
      <c r="D198" t="s">
        <v>18</v>
      </c>
      <c r="E198" t="b">
        <v>0</v>
      </c>
      <c r="F198" t="s">
        <v>7</v>
      </c>
    </row>
    <row r="199" spans="1:6" x14ac:dyDescent="0.2">
      <c r="A199">
        <v>0</v>
      </c>
      <c r="B199">
        <v>0</v>
      </c>
      <c r="C199" t="s">
        <v>6</v>
      </c>
      <c r="D199" t="s">
        <v>6</v>
      </c>
      <c r="E199" t="b">
        <v>0</v>
      </c>
      <c r="F199" t="s">
        <v>7</v>
      </c>
    </row>
    <row r="200" spans="1:6" x14ac:dyDescent="0.2">
      <c r="A200">
        <v>0</v>
      </c>
      <c r="B200">
        <v>0</v>
      </c>
      <c r="C200" t="s">
        <v>18</v>
      </c>
      <c r="D200" t="s">
        <v>18</v>
      </c>
      <c r="E200" t="b">
        <v>0</v>
      </c>
      <c r="F200" t="s">
        <v>7</v>
      </c>
    </row>
    <row r="201" spans="1:6" x14ac:dyDescent="0.2">
      <c r="A201">
        <v>0</v>
      </c>
      <c r="B201">
        <v>0</v>
      </c>
      <c r="C201" t="s">
        <v>6</v>
      </c>
      <c r="D201" t="s">
        <v>6</v>
      </c>
      <c r="E201" t="b">
        <v>0</v>
      </c>
      <c r="F201" t="s">
        <v>7</v>
      </c>
    </row>
    <row r="202" spans="1:6" x14ac:dyDescent="0.2">
      <c r="A202">
        <v>0</v>
      </c>
      <c r="B202">
        <v>0</v>
      </c>
      <c r="C202" t="s">
        <v>6</v>
      </c>
      <c r="D202" t="s">
        <v>6</v>
      </c>
      <c r="E202" t="b">
        <v>0</v>
      </c>
      <c r="F202" t="s">
        <v>7</v>
      </c>
    </row>
    <row r="203" spans="1:6" x14ac:dyDescent="0.2">
      <c r="A203">
        <v>0</v>
      </c>
      <c r="B203">
        <v>0</v>
      </c>
      <c r="C203" t="s">
        <v>18</v>
      </c>
      <c r="D203" t="s">
        <v>18</v>
      </c>
      <c r="E203" t="b">
        <v>0</v>
      </c>
      <c r="F203" t="s">
        <v>7</v>
      </c>
    </row>
    <row r="204" spans="1:6" x14ac:dyDescent="0.2">
      <c r="A204">
        <v>0</v>
      </c>
      <c r="B204">
        <v>0</v>
      </c>
      <c r="C204" t="s">
        <v>6</v>
      </c>
      <c r="D204" t="s">
        <v>6</v>
      </c>
      <c r="E204" t="b">
        <v>0</v>
      </c>
      <c r="F204" t="s">
        <v>7</v>
      </c>
    </row>
    <row r="205" spans="1:6" x14ac:dyDescent="0.2">
      <c r="A205">
        <v>0</v>
      </c>
      <c r="B205">
        <v>0</v>
      </c>
      <c r="C205" t="s">
        <v>18</v>
      </c>
      <c r="D205" t="s">
        <v>18</v>
      </c>
      <c r="E205" t="b">
        <v>0</v>
      </c>
      <c r="F205" t="s">
        <v>7</v>
      </c>
    </row>
    <row r="206" spans="1:6" x14ac:dyDescent="0.2">
      <c r="A206">
        <v>0</v>
      </c>
      <c r="B206">
        <v>0</v>
      </c>
      <c r="C206" t="s">
        <v>6</v>
      </c>
      <c r="D206" t="s">
        <v>6</v>
      </c>
      <c r="E206" t="b">
        <v>0</v>
      </c>
      <c r="F206" t="s">
        <v>7</v>
      </c>
    </row>
    <row r="207" spans="1:6" x14ac:dyDescent="0.2">
      <c r="A207">
        <v>0</v>
      </c>
      <c r="B207">
        <v>0</v>
      </c>
      <c r="C207" t="s">
        <v>18</v>
      </c>
      <c r="D207" t="s">
        <v>18</v>
      </c>
      <c r="E207" t="b">
        <v>0</v>
      </c>
      <c r="F207" t="s">
        <v>7</v>
      </c>
    </row>
    <row r="208" spans="1:6" x14ac:dyDescent="0.2">
      <c r="A208">
        <v>0</v>
      </c>
      <c r="B208">
        <v>0</v>
      </c>
      <c r="C208" t="s">
        <v>6</v>
      </c>
      <c r="D208" t="s">
        <v>6</v>
      </c>
      <c r="E208" t="b">
        <v>0</v>
      </c>
      <c r="F208" t="s">
        <v>7</v>
      </c>
    </row>
    <row r="209" spans="1:6" x14ac:dyDescent="0.2">
      <c r="A209">
        <v>0</v>
      </c>
      <c r="B209">
        <v>0</v>
      </c>
      <c r="C209" t="s">
        <v>6</v>
      </c>
      <c r="D209" t="s">
        <v>6</v>
      </c>
      <c r="E209" t="b">
        <v>0</v>
      </c>
      <c r="F209" t="s">
        <v>7</v>
      </c>
    </row>
    <row r="210" spans="1:6" x14ac:dyDescent="0.2">
      <c r="A210">
        <v>0</v>
      </c>
      <c r="B210">
        <v>0</v>
      </c>
      <c r="C210" t="s">
        <v>18</v>
      </c>
      <c r="D210" t="s">
        <v>18</v>
      </c>
      <c r="E210" t="b">
        <v>0</v>
      </c>
      <c r="F210" t="s">
        <v>7</v>
      </c>
    </row>
    <row r="211" spans="1:6" x14ac:dyDescent="0.2">
      <c r="A211">
        <v>0</v>
      </c>
      <c r="B211">
        <v>0</v>
      </c>
      <c r="C211" t="s">
        <v>6</v>
      </c>
      <c r="D211" t="s">
        <v>6</v>
      </c>
      <c r="E211" t="b">
        <v>0</v>
      </c>
      <c r="F211" t="s">
        <v>7</v>
      </c>
    </row>
    <row r="212" spans="1:6" x14ac:dyDescent="0.2">
      <c r="A212">
        <v>100</v>
      </c>
      <c r="B212">
        <v>10</v>
      </c>
      <c r="C212" t="s">
        <v>6</v>
      </c>
      <c r="D212" t="s">
        <v>12</v>
      </c>
      <c r="E212" t="b">
        <v>0</v>
      </c>
      <c r="F212" t="s">
        <v>7</v>
      </c>
    </row>
    <row r="213" spans="1:6" x14ac:dyDescent="0.2">
      <c r="A213">
        <v>0</v>
      </c>
      <c r="B213">
        <v>0</v>
      </c>
      <c r="C213" t="s">
        <v>6</v>
      </c>
      <c r="D213" t="s">
        <v>6</v>
      </c>
      <c r="E213" t="b">
        <v>0</v>
      </c>
      <c r="F213" t="s">
        <v>7</v>
      </c>
    </row>
    <row r="214" spans="1:6" x14ac:dyDescent="0.2">
      <c r="A214">
        <v>0</v>
      </c>
      <c r="B214">
        <v>0</v>
      </c>
      <c r="C214" t="s">
        <v>18</v>
      </c>
      <c r="D214" t="s">
        <v>18</v>
      </c>
      <c r="E214" t="b">
        <v>0</v>
      </c>
      <c r="F214" t="s">
        <v>7</v>
      </c>
    </row>
    <row r="215" spans="1:6" x14ac:dyDescent="0.2">
      <c r="A215">
        <v>0</v>
      </c>
      <c r="B215">
        <v>0</v>
      </c>
      <c r="C215" t="s">
        <v>6</v>
      </c>
      <c r="D215" t="s">
        <v>6</v>
      </c>
      <c r="E215" t="b">
        <v>0</v>
      </c>
      <c r="F215" t="s">
        <v>7</v>
      </c>
    </row>
    <row r="216" spans="1:6" x14ac:dyDescent="0.2">
      <c r="A216">
        <v>0</v>
      </c>
      <c r="B216">
        <v>0</v>
      </c>
      <c r="C216" t="s">
        <v>18</v>
      </c>
      <c r="D216" t="s">
        <v>18</v>
      </c>
      <c r="E216" t="b">
        <v>0</v>
      </c>
      <c r="F216" t="s">
        <v>7</v>
      </c>
    </row>
    <row r="217" spans="1:6" x14ac:dyDescent="0.2">
      <c r="A217">
        <v>0</v>
      </c>
      <c r="B217">
        <v>0</v>
      </c>
      <c r="C217" t="s">
        <v>6</v>
      </c>
      <c r="D217" t="s">
        <v>6</v>
      </c>
      <c r="E217" t="b">
        <v>0</v>
      </c>
      <c r="F217" t="s">
        <v>7</v>
      </c>
    </row>
    <row r="218" spans="1:6" x14ac:dyDescent="0.2">
      <c r="A218">
        <v>0</v>
      </c>
      <c r="B218">
        <v>0</v>
      </c>
      <c r="C218" t="s">
        <v>18</v>
      </c>
      <c r="D218" t="s">
        <v>18</v>
      </c>
      <c r="E218" t="b">
        <v>0</v>
      </c>
      <c r="F218" t="s">
        <v>7</v>
      </c>
    </row>
    <row r="219" spans="1:6" x14ac:dyDescent="0.2">
      <c r="A219">
        <v>0</v>
      </c>
      <c r="B219">
        <v>0</v>
      </c>
      <c r="C219" t="s">
        <v>6</v>
      </c>
      <c r="D219" t="s">
        <v>6</v>
      </c>
      <c r="E219" t="b">
        <v>0</v>
      </c>
      <c r="F219" t="s">
        <v>7</v>
      </c>
    </row>
    <row r="220" spans="1:6" x14ac:dyDescent="0.2">
      <c r="A220">
        <v>0</v>
      </c>
      <c r="B220">
        <v>0</v>
      </c>
      <c r="C220" t="s">
        <v>18</v>
      </c>
      <c r="D220" t="s">
        <v>18</v>
      </c>
      <c r="E220" t="b">
        <v>0</v>
      </c>
      <c r="F220" t="s">
        <v>7</v>
      </c>
    </row>
    <row r="221" spans="1:6" x14ac:dyDescent="0.2">
      <c r="A221">
        <v>0</v>
      </c>
      <c r="B221">
        <v>0</v>
      </c>
      <c r="C221" t="s">
        <v>6</v>
      </c>
      <c r="D221" t="s">
        <v>6</v>
      </c>
      <c r="E221" t="b">
        <v>0</v>
      </c>
      <c r="F221" t="s">
        <v>7</v>
      </c>
    </row>
    <row r="222" spans="1:6" x14ac:dyDescent="0.2">
      <c r="A222">
        <v>0</v>
      </c>
      <c r="B222">
        <v>0</v>
      </c>
      <c r="C222" t="s">
        <v>18</v>
      </c>
      <c r="D222" t="s">
        <v>18</v>
      </c>
      <c r="E222" t="b">
        <v>0</v>
      </c>
      <c r="F222" t="s">
        <v>7</v>
      </c>
    </row>
    <row r="223" spans="1:6" x14ac:dyDescent="0.2">
      <c r="A223">
        <v>0</v>
      </c>
      <c r="B223">
        <v>0</v>
      </c>
      <c r="C223" t="s">
        <v>6</v>
      </c>
      <c r="D223" t="s">
        <v>6</v>
      </c>
      <c r="E223" t="b">
        <v>0</v>
      </c>
      <c r="F223" t="s">
        <v>7</v>
      </c>
    </row>
    <row r="224" spans="1:6" x14ac:dyDescent="0.2">
      <c r="A224">
        <v>0</v>
      </c>
      <c r="B224">
        <v>0</v>
      </c>
      <c r="C224" t="s">
        <v>18</v>
      </c>
      <c r="D224" t="s">
        <v>18</v>
      </c>
      <c r="E224" t="b">
        <v>0</v>
      </c>
      <c r="F224" t="s">
        <v>7</v>
      </c>
    </row>
    <row r="225" spans="1:6" x14ac:dyDescent="0.2">
      <c r="A225">
        <v>0</v>
      </c>
      <c r="B225">
        <v>0</v>
      </c>
      <c r="C225" t="s">
        <v>6</v>
      </c>
      <c r="D225" t="s">
        <v>6</v>
      </c>
      <c r="E225" t="b">
        <v>0</v>
      </c>
      <c r="F225" t="s">
        <v>7</v>
      </c>
    </row>
    <row r="226" spans="1:6" x14ac:dyDescent="0.2">
      <c r="A226">
        <v>0</v>
      </c>
      <c r="B226">
        <v>0</v>
      </c>
      <c r="C226" t="s">
        <v>18</v>
      </c>
      <c r="D226" t="s">
        <v>18</v>
      </c>
      <c r="E226" t="b">
        <v>0</v>
      </c>
      <c r="F226" t="s">
        <v>7</v>
      </c>
    </row>
    <row r="227" spans="1:6" x14ac:dyDescent="0.2">
      <c r="A227">
        <v>0</v>
      </c>
      <c r="B227">
        <v>0</v>
      </c>
      <c r="C227" t="s">
        <v>6</v>
      </c>
      <c r="D227" t="s">
        <v>6</v>
      </c>
      <c r="E227" t="b">
        <v>0</v>
      </c>
      <c r="F227" t="s">
        <v>7</v>
      </c>
    </row>
    <row r="228" spans="1:6" x14ac:dyDescent="0.2">
      <c r="A228">
        <v>0</v>
      </c>
      <c r="B228">
        <v>0</v>
      </c>
      <c r="C228" t="s">
        <v>18</v>
      </c>
      <c r="D228" t="s">
        <v>18</v>
      </c>
      <c r="E228" t="b">
        <v>0</v>
      </c>
      <c r="F228" t="s">
        <v>7</v>
      </c>
    </row>
    <row r="229" spans="1:6" x14ac:dyDescent="0.2">
      <c r="A229">
        <v>0</v>
      </c>
      <c r="B229">
        <v>0</v>
      </c>
      <c r="C229" t="s">
        <v>6</v>
      </c>
      <c r="D229" t="s">
        <v>6</v>
      </c>
      <c r="E229" t="b">
        <v>0</v>
      </c>
      <c r="F229" t="s">
        <v>7</v>
      </c>
    </row>
    <row r="230" spans="1:6" x14ac:dyDescent="0.2">
      <c r="A230">
        <v>0</v>
      </c>
      <c r="B230">
        <v>0</v>
      </c>
      <c r="C230" t="s">
        <v>18</v>
      </c>
      <c r="D230" t="s">
        <v>18</v>
      </c>
      <c r="E230" t="b">
        <v>0</v>
      </c>
      <c r="F230" t="s">
        <v>7</v>
      </c>
    </row>
    <row r="231" spans="1:6" x14ac:dyDescent="0.2">
      <c r="A231">
        <v>0</v>
      </c>
      <c r="B231">
        <v>0</v>
      </c>
      <c r="C231" t="s">
        <v>6</v>
      </c>
      <c r="D231" t="s">
        <v>6</v>
      </c>
      <c r="E231" t="b">
        <v>0</v>
      </c>
      <c r="F231" t="s">
        <v>7</v>
      </c>
    </row>
    <row r="232" spans="1:6" x14ac:dyDescent="0.2">
      <c r="A232">
        <v>0</v>
      </c>
      <c r="B232">
        <v>0</v>
      </c>
      <c r="C232" t="s">
        <v>18</v>
      </c>
      <c r="D232" t="s">
        <v>18</v>
      </c>
      <c r="E232" t="b">
        <v>0</v>
      </c>
      <c r="F232" t="s">
        <v>7</v>
      </c>
    </row>
    <row r="233" spans="1:6" x14ac:dyDescent="0.2">
      <c r="A233">
        <v>0</v>
      </c>
      <c r="B233">
        <v>0</v>
      </c>
      <c r="C233" t="s">
        <v>6</v>
      </c>
      <c r="D233" t="s">
        <v>6</v>
      </c>
      <c r="E233" t="b">
        <v>0</v>
      </c>
      <c r="F233" t="s">
        <v>7</v>
      </c>
    </row>
    <row r="234" spans="1:6" x14ac:dyDescent="0.2">
      <c r="A234">
        <v>0</v>
      </c>
      <c r="B234">
        <v>0</v>
      </c>
      <c r="C234" t="s">
        <v>18</v>
      </c>
      <c r="D234" t="s">
        <v>18</v>
      </c>
      <c r="E234" t="b">
        <v>0</v>
      </c>
      <c r="F234" t="s">
        <v>7</v>
      </c>
    </row>
    <row r="235" spans="1:6" x14ac:dyDescent="0.2">
      <c r="A235">
        <v>0</v>
      </c>
      <c r="B235">
        <v>0</v>
      </c>
      <c r="C235" t="s">
        <v>6</v>
      </c>
      <c r="D235" t="s">
        <v>6</v>
      </c>
      <c r="E235" t="b">
        <v>0</v>
      </c>
      <c r="F235" t="s">
        <v>7</v>
      </c>
    </row>
    <row r="236" spans="1:6" x14ac:dyDescent="0.2">
      <c r="A236">
        <v>0</v>
      </c>
      <c r="B236">
        <v>0</v>
      </c>
      <c r="C236" t="s">
        <v>18</v>
      </c>
      <c r="D236" t="s">
        <v>18</v>
      </c>
      <c r="E236" t="b">
        <v>0</v>
      </c>
      <c r="F236" t="s">
        <v>7</v>
      </c>
    </row>
    <row r="237" spans="1:6" x14ac:dyDescent="0.2">
      <c r="A237">
        <v>100</v>
      </c>
      <c r="B237">
        <v>10</v>
      </c>
      <c r="C237" t="s">
        <v>17</v>
      </c>
      <c r="D237" t="s">
        <v>12</v>
      </c>
      <c r="E237" t="b">
        <v>0</v>
      </c>
      <c r="F237" t="s">
        <v>7</v>
      </c>
    </row>
    <row r="238" spans="1:6" x14ac:dyDescent="0.2">
      <c r="A238">
        <v>100</v>
      </c>
      <c r="B238">
        <v>10</v>
      </c>
      <c r="C238" t="s">
        <v>19</v>
      </c>
      <c r="D238" t="s">
        <v>12</v>
      </c>
      <c r="E238" t="b">
        <v>0</v>
      </c>
      <c r="F238" t="s">
        <v>7</v>
      </c>
    </row>
    <row r="239" spans="1:6" x14ac:dyDescent="0.2">
      <c r="A239">
        <v>100</v>
      </c>
      <c r="B239">
        <v>10</v>
      </c>
      <c r="C239" t="s">
        <v>18</v>
      </c>
      <c r="D239" t="s">
        <v>12</v>
      </c>
      <c r="E239" t="b">
        <v>0</v>
      </c>
      <c r="F239" t="s">
        <v>7</v>
      </c>
    </row>
    <row r="240" spans="1:6" x14ac:dyDescent="0.2">
      <c r="A240">
        <v>0</v>
      </c>
      <c r="B240">
        <v>0</v>
      </c>
      <c r="C240" t="s">
        <v>18</v>
      </c>
      <c r="D240" t="s">
        <v>18</v>
      </c>
      <c r="E240" t="b">
        <v>0</v>
      </c>
      <c r="F240" t="s">
        <v>7</v>
      </c>
    </row>
    <row r="241" spans="1:6" x14ac:dyDescent="0.2">
      <c r="A241">
        <v>0</v>
      </c>
      <c r="B241">
        <v>0</v>
      </c>
      <c r="C241" t="s">
        <v>18</v>
      </c>
      <c r="D241" t="s">
        <v>18</v>
      </c>
      <c r="E241" t="b">
        <v>0</v>
      </c>
      <c r="F241" t="s">
        <v>7</v>
      </c>
    </row>
    <row r="242" spans="1:6" x14ac:dyDescent="0.2">
      <c r="A242">
        <v>0</v>
      </c>
      <c r="B242">
        <v>0</v>
      </c>
      <c r="C242" t="s">
        <v>6</v>
      </c>
      <c r="D242" t="s">
        <v>6</v>
      </c>
      <c r="E242" t="b">
        <v>0</v>
      </c>
      <c r="F242" t="s">
        <v>7</v>
      </c>
    </row>
    <row r="243" spans="1:6" x14ac:dyDescent="0.2">
      <c r="A243">
        <v>0</v>
      </c>
      <c r="B243">
        <v>0</v>
      </c>
      <c r="C243" t="s">
        <v>18</v>
      </c>
      <c r="D243" t="s">
        <v>18</v>
      </c>
      <c r="E243" t="b">
        <v>0</v>
      </c>
      <c r="F243" t="s">
        <v>7</v>
      </c>
    </row>
    <row r="244" spans="1:6" x14ac:dyDescent="0.2">
      <c r="A244">
        <v>0</v>
      </c>
      <c r="B244">
        <v>0</v>
      </c>
      <c r="C244" t="s">
        <v>19</v>
      </c>
      <c r="D244" t="s">
        <v>19</v>
      </c>
      <c r="E244" t="b">
        <v>0</v>
      </c>
      <c r="F244" t="s">
        <v>7</v>
      </c>
    </row>
    <row r="245" spans="1:6" x14ac:dyDescent="0.2">
      <c r="A245">
        <v>0</v>
      </c>
      <c r="B245">
        <v>0</v>
      </c>
      <c r="C245" t="s">
        <v>18</v>
      </c>
      <c r="D245" t="s">
        <v>18</v>
      </c>
      <c r="E245" t="b">
        <v>0</v>
      </c>
      <c r="F245" t="s">
        <v>7</v>
      </c>
    </row>
    <row r="246" spans="1:6" x14ac:dyDescent="0.2">
      <c r="A246">
        <v>0</v>
      </c>
      <c r="B246">
        <v>0</v>
      </c>
      <c r="C246" t="s">
        <v>18</v>
      </c>
      <c r="D246" t="s">
        <v>18</v>
      </c>
      <c r="E246" t="b">
        <v>0</v>
      </c>
      <c r="F246" t="s">
        <v>7</v>
      </c>
    </row>
    <row r="247" spans="1:6" x14ac:dyDescent="0.2">
      <c r="A247">
        <v>0</v>
      </c>
      <c r="B247">
        <v>0</v>
      </c>
      <c r="C247" t="s">
        <v>6</v>
      </c>
      <c r="D247" t="s">
        <v>6</v>
      </c>
      <c r="E247" t="b">
        <v>0</v>
      </c>
      <c r="F247" t="s">
        <v>7</v>
      </c>
    </row>
    <row r="248" spans="1:6" x14ac:dyDescent="0.2">
      <c r="A248">
        <v>0</v>
      </c>
      <c r="B248">
        <v>0</v>
      </c>
      <c r="C248" t="s">
        <v>18</v>
      </c>
      <c r="D248" t="s">
        <v>18</v>
      </c>
      <c r="E248" t="b">
        <v>0</v>
      </c>
      <c r="F248" t="s">
        <v>7</v>
      </c>
    </row>
    <row r="249" spans="1:6" x14ac:dyDescent="0.2">
      <c r="A249">
        <v>0</v>
      </c>
      <c r="B249">
        <v>0</v>
      </c>
      <c r="C249" t="s">
        <v>6</v>
      </c>
      <c r="D249" t="s">
        <v>6</v>
      </c>
      <c r="E249" t="b">
        <v>0</v>
      </c>
      <c r="F249" t="s">
        <v>7</v>
      </c>
    </row>
    <row r="250" spans="1:6" x14ac:dyDescent="0.2">
      <c r="A250">
        <v>0</v>
      </c>
      <c r="B250">
        <v>0</v>
      </c>
      <c r="C250" t="s">
        <v>18</v>
      </c>
      <c r="D250" t="s">
        <v>18</v>
      </c>
      <c r="E250" t="b">
        <v>0</v>
      </c>
      <c r="F250" t="s">
        <v>7</v>
      </c>
    </row>
    <row r="251" spans="1:6" x14ac:dyDescent="0.2">
      <c r="A251">
        <v>0</v>
      </c>
      <c r="B251">
        <v>0</v>
      </c>
      <c r="C251" t="s">
        <v>6</v>
      </c>
      <c r="D251" t="s">
        <v>6</v>
      </c>
      <c r="E251" t="b">
        <v>0</v>
      </c>
      <c r="F251" t="s">
        <v>7</v>
      </c>
    </row>
    <row r="252" spans="1:6" x14ac:dyDescent="0.2">
      <c r="A252">
        <v>0</v>
      </c>
      <c r="B252">
        <v>0</v>
      </c>
      <c r="C252" t="s">
        <v>18</v>
      </c>
      <c r="D252" t="s">
        <v>18</v>
      </c>
      <c r="E252" t="b">
        <v>0</v>
      </c>
      <c r="F252" t="s">
        <v>7</v>
      </c>
    </row>
    <row r="253" spans="1:6" x14ac:dyDescent="0.2">
      <c r="A253">
        <v>0</v>
      </c>
      <c r="B253">
        <v>0</v>
      </c>
      <c r="C253" t="s">
        <v>6</v>
      </c>
      <c r="D253" t="s">
        <v>6</v>
      </c>
      <c r="E253" t="b">
        <v>0</v>
      </c>
      <c r="F253" t="s">
        <v>7</v>
      </c>
    </row>
    <row r="254" spans="1:6" x14ac:dyDescent="0.2">
      <c r="A254">
        <v>0</v>
      </c>
      <c r="B254">
        <v>0</v>
      </c>
      <c r="C254" t="s">
        <v>18</v>
      </c>
      <c r="D254" t="s">
        <v>18</v>
      </c>
      <c r="E254" t="b">
        <v>0</v>
      </c>
      <c r="F254" t="s">
        <v>7</v>
      </c>
    </row>
    <row r="255" spans="1:6" x14ac:dyDescent="0.2">
      <c r="A255">
        <v>0</v>
      </c>
      <c r="B255">
        <v>0</v>
      </c>
      <c r="C255" t="s">
        <v>6</v>
      </c>
      <c r="D255" t="s">
        <v>6</v>
      </c>
      <c r="E255" t="b">
        <v>0</v>
      </c>
      <c r="F255" t="s">
        <v>7</v>
      </c>
    </row>
    <row r="256" spans="1:6" x14ac:dyDescent="0.2">
      <c r="A256">
        <v>0</v>
      </c>
      <c r="B256">
        <v>0</v>
      </c>
      <c r="C256" t="s">
        <v>18</v>
      </c>
      <c r="D256" t="s">
        <v>18</v>
      </c>
      <c r="E256" t="b">
        <v>0</v>
      </c>
      <c r="F256" t="s">
        <v>7</v>
      </c>
    </row>
    <row r="257" spans="1:6" x14ac:dyDescent="0.2">
      <c r="A257">
        <v>0</v>
      </c>
      <c r="B257">
        <v>0</v>
      </c>
      <c r="C257" t="s">
        <v>6</v>
      </c>
      <c r="D257" t="s">
        <v>6</v>
      </c>
      <c r="E257" t="b">
        <v>0</v>
      </c>
      <c r="F257" t="s">
        <v>7</v>
      </c>
    </row>
    <row r="258" spans="1:6" x14ac:dyDescent="0.2">
      <c r="A258">
        <v>0</v>
      </c>
      <c r="B258">
        <v>0</v>
      </c>
      <c r="C258" t="s">
        <v>18</v>
      </c>
      <c r="D258" t="s">
        <v>18</v>
      </c>
      <c r="E258" t="b">
        <v>0</v>
      </c>
      <c r="F258" t="s">
        <v>7</v>
      </c>
    </row>
    <row r="259" spans="1:6" x14ac:dyDescent="0.2">
      <c r="A259">
        <v>0</v>
      </c>
      <c r="B259">
        <v>0</v>
      </c>
      <c r="C259" t="s">
        <v>6</v>
      </c>
      <c r="D259" t="s">
        <v>6</v>
      </c>
      <c r="E259" t="b">
        <v>0</v>
      </c>
      <c r="F259" t="s">
        <v>7</v>
      </c>
    </row>
    <row r="260" spans="1:6" x14ac:dyDescent="0.2">
      <c r="A260">
        <v>0</v>
      </c>
      <c r="B260">
        <v>0</v>
      </c>
      <c r="C260" t="s">
        <v>18</v>
      </c>
      <c r="D260" t="s">
        <v>18</v>
      </c>
      <c r="E260" t="b">
        <v>0</v>
      </c>
      <c r="F260" t="s">
        <v>7</v>
      </c>
    </row>
    <row r="261" spans="1:6" x14ac:dyDescent="0.2">
      <c r="A261">
        <v>0</v>
      </c>
      <c r="B261">
        <v>0</v>
      </c>
      <c r="C261" t="s">
        <v>6</v>
      </c>
      <c r="D261" t="s">
        <v>6</v>
      </c>
      <c r="E261" t="b">
        <v>0</v>
      </c>
      <c r="F261" t="s">
        <v>7</v>
      </c>
    </row>
    <row r="262" spans="1:6" x14ac:dyDescent="0.2">
      <c r="A262">
        <v>0</v>
      </c>
      <c r="B262">
        <v>0</v>
      </c>
      <c r="C262" t="s">
        <v>18</v>
      </c>
      <c r="D262" t="s">
        <v>18</v>
      </c>
      <c r="E262" t="b">
        <v>0</v>
      </c>
      <c r="F262" t="s">
        <v>7</v>
      </c>
    </row>
    <row r="263" spans="1:6" x14ac:dyDescent="0.2">
      <c r="A263">
        <v>0</v>
      </c>
      <c r="B263">
        <v>0</v>
      </c>
      <c r="C263" t="s">
        <v>6</v>
      </c>
      <c r="D263" t="s">
        <v>6</v>
      </c>
      <c r="E263" t="b">
        <v>0</v>
      </c>
      <c r="F263" t="s">
        <v>7</v>
      </c>
    </row>
    <row r="264" spans="1:6" x14ac:dyDescent="0.2">
      <c r="A264">
        <v>0</v>
      </c>
      <c r="B264">
        <v>0</v>
      </c>
      <c r="C264" t="s">
        <v>18</v>
      </c>
      <c r="D264" t="s">
        <v>18</v>
      </c>
      <c r="E264" t="b">
        <v>0</v>
      </c>
      <c r="F264" t="s">
        <v>7</v>
      </c>
    </row>
    <row r="265" spans="1:6" x14ac:dyDescent="0.2">
      <c r="A265">
        <v>0</v>
      </c>
      <c r="B265">
        <v>0</v>
      </c>
      <c r="C265" t="s">
        <v>6</v>
      </c>
      <c r="D265" t="s">
        <v>6</v>
      </c>
      <c r="E265" t="b">
        <v>0</v>
      </c>
      <c r="F265" t="s">
        <v>7</v>
      </c>
    </row>
    <row r="266" spans="1:6" x14ac:dyDescent="0.2">
      <c r="A266">
        <v>0</v>
      </c>
      <c r="B266">
        <v>0</v>
      </c>
      <c r="C266" t="s">
        <v>18</v>
      </c>
      <c r="D266" t="s">
        <v>18</v>
      </c>
      <c r="E266" t="b">
        <v>0</v>
      </c>
      <c r="F266" t="s">
        <v>7</v>
      </c>
    </row>
    <row r="267" spans="1:6" x14ac:dyDescent="0.2">
      <c r="A267">
        <v>0</v>
      </c>
      <c r="B267">
        <v>0</v>
      </c>
      <c r="C267" t="s">
        <v>6</v>
      </c>
      <c r="D267" t="s">
        <v>6</v>
      </c>
      <c r="E267" t="b">
        <v>0</v>
      </c>
      <c r="F267" t="s">
        <v>7</v>
      </c>
    </row>
    <row r="268" spans="1:6" x14ac:dyDescent="0.2">
      <c r="A268">
        <v>0</v>
      </c>
      <c r="B268">
        <v>0</v>
      </c>
      <c r="C268" t="s">
        <v>18</v>
      </c>
      <c r="D268" t="s">
        <v>18</v>
      </c>
      <c r="E268" t="b">
        <v>0</v>
      </c>
      <c r="F268" t="s">
        <v>7</v>
      </c>
    </row>
    <row r="269" spans="1:6" x14ac:dyDescent="0.2">
      <c r="A269">
        <v>0</v>
      </c>
      <c r="B269">
        <v>0</v>
      </c>
      <c r="C269" t="s">
        <v>6</v>
      </c>
      <c r="D269" t="s">
        <v>6</v>
      </c>
      <c r="E269" t="b">
        <v>0</v>
      </c>
      <c r="F269" t="s">
        <v>7</v>
      </c>
    </row>
    <row r="270" spans="1:6" x14ac:dyDescent="0.2">
      <c r="A270">
        <v>0</v>
      </c>
      <c r="B270">
        <v>0</v>
      </c>
      <c r="C270" t="s">
        <v>18</v>
      </c>
      <c r="D270" t="s">
        <v>18</v>
      </c>
      <c r="E270" t="b">
        <v>0</v>
      </c>
      <c r="F270" t="s">
        <v>7</v>
      </c>
    </row>
    <row r="271" spans="1:6" x14ac:dyDescent="0.2">
      <c r="A271">
        <v>0</v>
      </c>
      <c r="B271">
        <v>0</v>
      </c>
      <c r="C271" t="s">
        <v>6</v>
      </c>
      <c r="D271" t="s">
        <v>6</v>
      </c>
      <c r="E271" t="b">
        <v>0</v>
      </c>
      <c r="F271" t="s">
        <v>7</v>
      </c>
    </row>
    <row r="272" spans="1:6" x14ac:dyDescent="0.2">
      <c r="A272">
        <v>0</v>
      </c>
      <c r="B272">
        <v>0</v>
      </c>
      <c r="C272" t="s">
        <v>18</v>
      </c>
      <c r="D272" t="s">
        <v>18</v>
      </c>
      <c r="E272" t="b">
        <v>0</v>
      </c>
      <c r="F272" t="s">
        <v>7</v>
      </c>
    </row>
    <row r="273" spans="1:6" x14ac:dyDescent="0.2">
      <c r="A273">
        <v>0</v>
      </c>
      <c r="B273">
        <v>0</v>
      </c>
      <c r="C273" t="s">
        <v>6</v>
      </c>
      <c r="D273" t="s">
        <v>6</v>
      </c>
      <c r="E273" t="b">
        <v>0</v>
      </c>
      <c r="F273" t="s">
        <v>7</v>
      </c>
    </row>
    <row r="274" spans="1:6" x14ac:dyDescent="0.2">
      <c r="A274">
        <v>0</v>
      </c>
      <c r="B274">
        <v>0</v>
      </c>
      <c r="C274" t="s">
        <v>18</v>
      </c>
      <c r="D274" t="s">
        <v>18</v>
      </c>
      <c r="E274" t="b">
        <v>0</v>
      </c>
      <c r="F274" t="s">
        <v>7</v>
      </c>
    </row>
    <row r="275" spans="1:6" x14ac:dyDescent="0.2">
      <c r="A275">
        <v>0</v>
      </c>
      <c r="B275">
        <v>0</v>
      </c>
      <c r="C275" t="s">
        <v>6</v>
      </c>
      <c r="D275" t="s">
        <v>6</v>
      </c>
      <c r="E275" t="b">
        <v>0</v>
      </c>
      <c r="F275" t="s">
        <v>7</v>
      </c>
    </row>
    <row r="276" spans="1:6" x14ac:dyDescent="0.2">
      <c r="A276">
        <v>0</v>
      </c>
      <c r="B276">
        <v>0</v>
      </c>
      <c r="C276" t="s">
        <v>18</v>
      </c>
      <c r="D276" t="s">
        <v>18</v>
      </c>
      <c r="E276" t="b">
        <v>0</v>
      </c>
      <c r="F276" t="s">
        <v>7</v>
      </c>
    </row>
    <row r="277" spans="1:6" x14ac:dyDescent="0.2">
      <c r="A277">
        <v>0</v>
      </c>
      <c r="B277">
        <v>0</v>
      </c>
      <c r="C277" t="s">
        <v>6</v>
      </c>
      <c r="D277" t="s">
        <v>6</v>
      </c>
      <c r="E277" t="b">
        <v>0</v>
      </c>
      <c r="F277" t="s">
        <v>7</v>
      </c>
    </row>
    <row r="278" spans="1:6" x14ac:dyDescent="0.2">
      <c r="A278">
        <v>0</v>
      </c>
      <c r="B278">
        <v>0</v>
      </c>
      <c r="C278" t="s">
        <v>18</v>
      </c>
      <c r="D278" t="s">
        <v>18</v>
      </c>
      <c r="E278" t="b">
        <v>0</v>
      </c>
      <c r="F278" t="s">
        <v>7</v>
      </c>
    </row>
    <row r="279" spans="1:6" x14ac:dyDescent="0.2">
      <c r="A279">
        <v>0</v>
      </c>
      <c r="B279">
        <v>0</v>
      </c>
      <c r="C279" t="s">
        <v>6</v>
      </c>
      <c r="D279" t="s">
        <v>6</v>
      </c>
      <c r="E279" t="b">
        <v>0</v>
      </c>
      <c r="F279" t="s">
        <v>7</v>
      </c>
    </row>
    <row r="280" spans="1:6" x14ac:dyDescent="0.2">
      <c r="A280">
        <v>0</v>
      </c>
      <c r="B280">
        <v>0</v>
      </c>
      <c r="C280" t="s">
        <v>6</v>
      </c>
      <c r="D280" t="s">
        <v>6</v>
      </c>
      <c r="E280" t="b">
        <v>0</v>
      </c>
      <c r="F280" t="s">
        <v>7</v>
      </c>
    </row>
    <row r="281" spans="1:6" x14ac:dyDescent="0.2">
      <c r="A281">
        <v>0</v>
      </c>
      <c r="B281">
        <v>0</v>
      </c>
      <c r="C281" t="s">
        <v>6</v>
      </c>
      <c r="D281" t="s">
        <v>6</v>
      </c>
      <c r="E281" t="b">
        <v>0</v>
      </c>
      <c r="F281" t="s">
        <v>7</v>
      </c>
    </row>
    <row r="282" spans="1:6" x14ac:dyDescent="0.2">
      <c r="A282">
        <v>0</v>
      </c>
      <c r="B282">
        <v>0</v>
      </c>
      <c r="C282" t="s">
        <v>18</v>
      </c>
      <c r="D282" t="s">
        <v>18</v>
      </c>
      <c r="E282" t="b">
        <v>0</v>
      </c>
      <c r="F282" t="s">
        <v>7</v>
      </c>
    </row>
    <row r="283" spans="1:6" x14ac:dyDescent="0.2">
      <c r="A283">
        <v>0</v>
      </c>
      <c r="B283">
        <v>0</v>
      </c>
      <c r="C283" t="s">
        <v>6</v>
      </c>
      <c r="D283" t="s">
        <v>6</v>
      </c>
      <c r="E283" t="b">
        <v>0</v>
      </c>
      <c r="F283" t="s">
        <v>7</v>
      </c>
    </row>
    <row r="284" spans="1:6" x14ac:dyDescent="0.2">
      <c r="A284">
        <v>0</v>
      </c>
      <c r="B284">
        <v>0</v>
      </c>
      <c r="C284" t="s">
        <v>18</v>
      </c>
      <c r="D284" t="s">
        <v>18</v>
      </c>
      <c r="E284" t="b">
        <v>0</v>
      </c>
      <c r="F284" t="s">
        <v>7</v>
      </c>
    </row>
    <row r="285" spans="1:6" x14ac:dyDescent="0.2">
      <c r="A285">
        <v>0</v>
      </c>
      <c r="B285">
        <v>0</v>
      </c>
      <c r="C285" t="s">
        <v>6</v>
      </c>
      <c r="D285" t="s">
        <v>6</v>
      </c>
      <c r="E285" t="b">
        <v>0</v>
      </c>
      <c r="F285" t="s">
        <v>7</v>
      </c>
    </row>
    <row r="286" spans="1:6" x14ac:dyDescent="0.2">
      <c r="A286">
        <v>1</v>
      </c>
      <c r="B286">
        <v>0</v>
      </c>
      <c r="C286" t="s">
        <v>21</v>
      </c>
      <c r="D286" t="s">
        <v>21</v>
      </c>
      <c r="E286" t="b">
        <v>0</v>
      </c>
      <c r="F286" t="s">
        <v>7</v>
      </c>
    </row>
    <row r="287" spans="1:6" x14ac:dyDescent="0.2">
      <c r="A287">
        <v>1</v>
      </c>
      <c r="B287">
        <v>0</v>
      </c>
      <c r="C287" t="s">
        <v>21</v>
      </c>
      <c r="D287" t="s">
        <v>21</v>
      </c>
      <c r="E287" t="b">
        <v>0</v>
      </c>
      <c r="F287" t="s">
        <v>7</v>
      </c>
    </row>
    <row r="288" spans="1:6" x14ac:dyDescent="0.2">
      <c r="A288">
        <v>1</v>
      </c>
      <c r="B288">
        <v>0</v>
      </c>
      <c r="C288" t="s">
        <v>21</v>
      </c>
      <c r="D288" t="s">
        <v>21</v>
      </c>
      <c r="E288" t="b">
        <v>0</v>
      </c>
      <c r="F288" t="s">
        <v>7</v>
      </c>
    </row>
    <row r="289" spans="1:6" x14ac:dyDescent="0.2">
      <c r="A289">
        <v>100</v>
      </c>
      <c r="B289">
        <v>10</v>
      </c>
      <c r="C289" t="s">
        <v>21</v>
      </c>
      <c r="D289" t="s">
        <v>12</v>
      </c>
      <c r="E289" t="b">
        <v>0</v>
      </c>
      <c r="F289" t="s">
        <v>7</v>
      </c>
    </row>
    <row r="290" spans="1:6" x14ac:dyDescent="0.2">
      <c r="A290">
        <v>1</v>
      </c>
      <c r="B290">
        <v>0</v>
      </c>
      <c r="C290" t="s">
        <v>21</v>
      </c>
      <c r="D290" t="s">
        <v>21</v>
      </c>
      <c r="E290" t="b">
        <v>0</v>
      </c>
      <c r="F290" t="s">
        <v>7</v>
      </c>
    </row>
    <row r="291" spans="1:6" x14ac:dyDescent="0.2">
      <c r="A291">
        <v>1</v>
      </c>
      <c r="B291">
        <v>0</v>
      </c>
      <c r="C291" t="s">
        <v>21</v>
      </c>
      <c r="D291" t="s">
        <v>21</v>
      </c>
      <c r="E291" t="b">
        <v>0</v>
      </c>
      <c r="F291" t="s">
        <v>7</v>
      </c>
    </row>
    <row r="292" spans="1:6" x14ac:dyDescent="0.2">
      <c r="A292">
        <v>1</v>
      </c>
      <c r="B292">
        <v>0</v>
      </c>
      <c r="C292" t="s">
        <v>21</v>
      </c>
      <c r="D292" t="s">
        <v>21</v>
      </c>
      <c r="E292" t="b">
        <v>0</v>
      </c>
      <c r="F292" t="s">
        <v>7</v>
      </c>
    </row>
    <row r="293" spans="1:6" x14ac:dyDescent="0.2">
      <c r="A293">
        <v>100</v>
      </c>
      <c r="B293">
        <v>10</v>
      </c>
      <c r="C293" t="s">
        <v>21</v>
      </c>
      <c r="D293" t="s">
        <v>12</v>
      </c>
      <c r="E293" t="b">
        <v>0</v>
      </c>
      <c r="F293" t="s">
        <v>7</v>
      </c>
    </row>
    <row r="294" spans="1:6" x14ac:dyDescent="0.2">
      <c r="A294">
        <v>1</v>
      </c>
      <c r="B294">
        <v>0</v>
      </c>
      <c r="C294" t="s">
        <v>21</v>
      </c>
      <c r="D294" t="s">
        <v>21</v>
      </c>
      <c r="E294" t="b">
        <v>0</v>
      </c>
      <c r="F294" t="s">
        <v>7</v>
      </c>
    </row>
    <row r="295" spans="1:6" x14ac:dyDescent="0.2">
      <c r="A295">
        <v>1</v>
      </c>
      <c r="B295">
        <v>0</v>
      </c>
      <c r="C295" t="s">
        <v>21</v>
      </c>
      <c r="D295" t="s">
        <v>21</v>
      </c>
      <c r="E295" t="b">
        <v>0</v>
      </c>
      <c r="F295" t="s">
        <v>7</v>
      </c>
    </row>
    <row r="296" spans="1:6" x14ac:dyDescent="0.2">
      <c r="A296">
        <v>1</v>
      </c>
      <c r="B296">
        <v>0</v>
      </c>
      <c r="C296" t="s">
        <v>21</v>
      </c>
      <c r="D296" t="s">
        <v>21</v>
      </c>
      <c r="E296" t="b">
        <v>0</v>
      </c>
      <c r="F296" t="s">
        <v>7</v>
      </c>
    </row>
    <row r="297" spans="1:6" x14ac:dyDescent="0.2">
      <c r="A297">
        <v>1</v>
      </c>
      <c r="B297">
        <v>0</v>
      </c>
      <c r="C297" t="s">
        <v>21</v>
      </c>
      <c r="D297" t="s">
        <v>21</v>
      </c>
      <c r="E297" t="b">
        <v>0</v>
      </c>
      <c r="F297" t="s">
        <v>7</v>
      </c>
    </row>
    <row r="298" spans="1:6" x14ac:dyDescent="0.2">
      <c r="A298">
        <v>1</v>
      </c>
      <c r="B298">
        <v>0</v>
      </c>
      <c r="C298" t="s">
        <v>21</v>
      </c>
      <c r="D298" t="s">
        <v>21</v>
      </c>
      <c r="E298" t="b">
        <v>0</v>
      </c>
      <c r="F298" t="s">
        <v>7</v>
      </c>
    </row>
    <row r="299" spans="1:6" x14ac:dyDescent="0.2">
      <c r="A299">
        <v>1</v>
      </c>
      <c r="B299">
        <v>0</v>
      </c>
      <c r="C299" t="s">
        <v>21</v>
      </c>
      <c r="D299" t="s">
        <v>21</v>
      </c>
      <c r="E299" t="b">
        <v>0</v>
      </c>
      <c r="F299" t="s">
        <v>7</v>
      </c>
    </row>
    <row r="300" spans="1:6" x14ac:dyDescent="0.2">
      <c r="A300">
        <v>100</v>
      </c>
      <c r="B300">
        <v>10</v>
      </c>
      <c r="C300" t="s">
        <v>21</v>
      </c>
      <c r="D300" t="s">
        <v>12</v>
      </c>
      <c r="E300" t="b">
        <v>0</v>
      </c>
      <c r="F300" t="s">
        <v>7</v>
      </c>
    </row>
    <row r="301" spans="1:6" x14ac:dyDescent="0.2">
      <c r="A301">
        <v>1</v>
      </c>
      <c r="B301">
        <v>0</v>
      </c>
      <c r="C301" t="s">
        <v>21</v>
      </c>
      <c r="D301" t="s">
        <v>21</v>
      </c>
      <c r="E301" t="b">
        <v>0</v>
      </c>
      <c r="F301" t="s">
        <v>7</v>
      </c>
    </row>
    <row r="302" spans="1:6" x14ac:dyDescent="0.2">
      <c r="A302">
        <v>1</v>
      </c>
      <c r="B302">
        <v>0</v>
      </c>
      <c r="C302" t="s">
        <v>21</v>
      </c>
      <c r="D302" t="s">
        <v>21</v>
      </c>
      <c r="E302" t="b">
        <v>0</v>
      </c>
      <c r="F302" t="s">
        <v>7</v>
      </c>
    </row>
    <row r="303" spans="1:6" x14ac:dyDescent="0.2">
      <c r="A303">
        <v>1</v>
      </c>
      <c r="B303">
        <v>0</v>
      </c>
      <c r="C303" t="s">
        <v>21</v>
      </c>
      <c r="D303" t="s">
        <v>21</v>
      </c>
      <c r="E303" t="b">
        <v>0</v>
      </c>
      <c r="F303" t="s">
        <v>7</v>
      </c>
    </row>
    <row r="304" spans="1:6" x14ac:dyDescent="0.2">
      <c r="A304">
        <v>1</v>
      </c>
      <c r="B304">
        <v>0</v>
      </c>
      <c r="C304" t="s">
        <v>21</v>
      </c>
      <c r="D304" t="s">
        <v>21</v>
      </c>
      <c r="E304" t="b">
        <v>0</v>
      </c>
      <c r="F304" t="s">
        <v>7</v>
      </c>
    </row>
    <row r="305" spans="1:6" x14ac:dyDescent="0.2">
      <c r="A305">
        <v>0</v>
      </c>
      <c r="B305">
        <v>0</v>
      </c>
      <c r="C305" t="s">
        <v>18</v>
      </c>
      <c r="D305" t="s">
        <v>18</v>
      </c>
      <c r="E305" t="b">
        <v>0</v>
      </c>
      <c r="F305" t="s">
        <v>7</v>
      </c>
    </row>
    <row r="306" spans="1:6" x14ac:dyDescent="0.2">
      <c r="A306">
        <v>1</v>
      </c>
      <c r="B306">
        <v>0</v>
      </c>
      <c r="C306" t="s">
        <v>21</v>
      </c>
      <c r="D306" t="s">
        <v>21</v>
      </c>
      <c r="E306" t="b">
        <v>0</v>
      </c>
      <c r="F306" t="s">
        <v>7</v>
      </c>
    </row>
    <row r="307" spans="1:6" x14ac:dyDescent="0.2">
      <c r="A307">
        <v>1</v>
      </c>
      <c r="B307">
        <v>0</v>
      </c>
      <c r="C307" t="s">
        <v>21</v>
      </c>
      <c r="D307" t="s">
        <v>21</v>
      </c>
      <c r="E307" t="b">
        <v>0</v>
      </c>
      <c r="F307" t="s">
        <v>7</v>
      </c>
    </row>
    <row r="308" spans="1:6" x14ac:dyDescent="0.2">
      <c r="A308">
        <v>1</v>
      </c>
      <c r="B308">
        <v>0</v>
      </c>
      <c r="C308" t="s">
        <v>21</v>
      </c>
      <c r="D308" t="s">
        <v>21</v>
      </c>
      <c r="E308" t="b">
        <v>0</v>
      </c>
      <c r="F308" t="s">
        <v>7</v>
      </c>
    </row>
    <row r="309" spans="1:6" x14ac:dyDescent="0.2">
      <c r="A309">
        <v>1</v>
      </c>
      <c r="B309">
        <v>0</v>
      </c>
      <c r="C309" t="s">
        <v>21</v>
      </c>
      <c r="D309" t="s">
        <v>21</v>
      </c>
      <c r="E309" t="b">
        <v>0</v>
      </c>
      <c r="F309" t="s">
        <v>7</v>
      </c>
    </row>
    <row r="310" spans="1:6" x14ac:dyDescent="0.2">
      <c r="A310">
        <v>1</v>
      </c>
      <c r="B310">
        <v>0</v>
      </c>
      <c r="C310" t="s">
        <v>21</v>
      </c>
      <c r="D310" t="s">
        <v>21</v>
      </c>
      <c r="E310" t="b">
        <v>0</v>
      </c>
      <c r="F310" t="s">
        <v>7</v>
      </c>
    </row>
    <row r="311" spans="1:6" x14ac:dyDescent="0.2">
      <c r="A311">
        <v>1</v>
      </c>
      <c r="B311">
        <v>0</v>
      </c>
      <c r="C311" t="s">
        <v>21</v>
      </c>
      <c r="D311" t="s">
        <v>21</v>
      </c>
      <c r="E311" t="b">
        <v>0</v>
      </c>
      <c r="F311" t="s">
        <v>7</v>
      </c>
    </row>
    <row r="312" spans="1:6" x14ac:dyDescent="0.2">
      <c r="A312">
        <v>1</v>
      </c>
      <c r="B312">
        <v>0</v>
      </c>
      <c r="C312" t="s">
        <v>21</v>
      </c>
      <c r="D312" t="s">
        <v>21</v>
      </c>
      <c r="E312" t="b">
        <v>0</v>
      </c>
      <c r="F312" t="s">
        <v>7</v>
      </c>
    </row>
    <row r="313" spans="1:6" x14ac:dyDescent="0.2">
      <c r="A313">
        <v>1</v>
      </c>
      <c r="B313">
        <v>0</v>
      </c>
      <c r="C313" t="s">
        <v>21</v>
      </c>
      <c r="D313" t="s">
        <v>21</v>
      </c>
      <c r="E313" t="b">
        <v>0</v>
      </c>
      <c r="F313" t="s">
        <v>7</v>
      </c>
    </row>
    <row r="314" spans="1:6" x14ac:dyDescent="0.2">
      <c r="A314">
        <v>1</v>
      </c>
      <c r="B314">
        <v>0</v>
      </c>
      <c r="C314" t="s">
        <v>21</v>
      </c>
      <c r="D314" t="s">
        <v>21</v>
      </c>
      <c r="E314" t="b">
        <v>0</v>
      </c>
      <c r="F314" t="s">
        <v>7</v>
      </c>
    </row>
    <row r="315" spans="1:6" x14ac:dyDescent="0.2">
      <c r="A315">
        <v>1</v>
      </c>
      <c r="B315">
        <v>0</v>
      </c>
      <c r="C315" t="s">
        <v>21</v>
      </c>
      <c r="D315" t="s">
        <v>21</v>
      </c>
      <c r="E315" t="b">
        <v>0</v>
      </c>
      <c r="F315" t="s">
        <v>7</v>
      </c>
    </row>
    <row r="316" spans="1:6" x14ac:dyDescent="0.2">
      <c r="A316">
        <v>1</v>
      </c>
      <c r="B316">
        <v>0</v>
      </c>
      <c r="C316" t="s">
        <v>21</v>
      </c>
      <c r="D316" t="s">
        <v>21</v>
      </c>
      <c r="E316" t="b">
        <v>0</v>
      </c>
      <c r="F316" t="s">
        <v>7</v>
      </c>
    </row>
    <row r="317" spans="1:6" x14ac:dyDescent="0.2">
      <c r="A317">
        <v>1</v>
      </c>
      <c r="B317">
        <v>0</v>
      </c>
      <c r="C317" t="s">
        <v>21</v>
      </c>
      <c r="D317" t="s">
        <v>21</v>
      </c>
      <c r="E317" t="b">
        <v>0</v>
      </c>
      <c r="F317" t="s">
        <v>7</v>
      </c>
    </row>
    <row r="318" spans="1:6" x14ac:dyDescent="0.2">
      <c r="A318">
        <v>1</v>
      </c>
      <c r="B318">
        <v>0</v>
      </c>
      <c r="C318" t="s">
        <v>21</v>
      </c>
      <c r="D318" t="s">
        <v>21</v>
      </c>
      <c r="E318" t="b">
        <v>0</v>
      </c>
      <c r="F318" t="s">
        <v>7</v>
      </c>
    </row>
    <row r="319" spans="1:6" x14ac:dyDescent="0.2">
      <c r="A319">
        <v>1</v>
      </c>
      <c r="B319">
        <v>0</v>
      </c>
      <c r="C319" t="s">
        <v>21</v>
      </c>
      <c r="D319" t="s">
        <v>21</v>
      </c>
      <c r="E319" t="b">
        <v>0</v>
      </c>
      <c r="F319" t="s">
        <v>7</v>
      </c>
    </row>
    <row r="320" spans="1:6" x14ac:dyDescent="0.2">
      <c r="A320">
        <v>100</v>
      </c>
      <c r="B320">
        <v>10</v>
      </c>
      <c r="C320" t="s">
        <v>20</v>
      </c>
      <c r="D320" t="s">
        <v>12</v>
      </c>
      <c r="E320" t="b">
        <v>0</v>
      </c>
      <c r="F320" t="s">
        <v>7</v>
      </c>
    </row>
    <row r="321" spans="1:6" x14ac:dyDescent="0.2">
      <c r="A321">
        <v>1</v>
      </c>
      <c r="B321">
        <v>0</v>
      </c>
      <c r="C321" t="s">
        <v>21</v>
      </c>
      <c r="D321" t="s">
        <v>21</v>
      </c>
      <c r="E321" t="b">
        <v>0</v>
      </c>
      <c r="F321" t="s">
        <v>7</v>
      </c>
    </row>
    <row r="322" spans="1:6" x14ac:dyDescent="0.2">
      <c r="A322">
        <v>1</v>
      </c>
      <c r="B322">
        <v>0</v>
      </c>
      <c r="C322" t="s">
        <v>21</v>
      </c>
      <c r="D322" t="s">
        <v>21</v>
      </c>
      <c r="E322" t="b">
        <v>0</v>
      </c>
      <c r="F322" t="s">
        <v>7</v>
      </c>
    </row>
    <row r="323" spans="1:6" x14ac:dyDescent="0.2">
      <c r="A323">
        <v>100</v>
      </c>
      <c r="B323">
        <v>10</v>
      </c>
      <c r="C323" t="s">
        <v>20</v>
      </c>
      <c r="D323" t="s">
        <v>12</v>
      </c>
      <c r="E323" t="b">
        <v>0</v>
      </c>
      <c r="F323" t="s">
        <v>7</v>
      </c>
    </row>
    <row r="324" spans="1:6" x14ac:dyDescent="0.2">
      <c r="A324">
        <v>1</v>
      </c>
      <c r="B324">
        <v>0</v>
      </c>
      <c r="C324" t="s">
        <v>21</v>
      </c>
      <c r="D324" t="s">
        <v>21</v>
      </c>
      <c r="E324" t="b">
        <v>0</v>
      </c>
      <c r="F324" t="s">
        <v>7</v>
      </c>
    </row>
    <row r="325" spans="1:6" x14ac:dyDescent="0.2">
      <c r="A325">
        <v>1</v>
      </c>
      <c r="B325">
        <v>0</v>
      </c>
      <c r="C325" t="s">
        <v>21</v>
      </c>
      <c r="D325" t="s">
        <v>21</v>
      </c>
      <c r="E325" t="b">
        <v>0</v>
      </c>
      <c r="F325" t="s">
        <v>7</v>
      </c>
    </row>
    <row r="326" spans="1:6" x14ac:dyDescent="0.2">
      <c r="A326">
        <v>1</v>
      </c>
      <c r="B326">
        <v>0</v>
      </c>
      <c r="C326" t="s">
        <v>21</v>
      </c>
      <c r="D326" t="s">
        <v>21</v>
      </c>
      <c r="E326" t="b">
        <v>0</v>
      </c>
      <c r="F326" t="s">
        <v>7</v>
      </c>
    </row>
    <row r="327" spans="1:6" x14ac:dyDescent="0.2">
      <c r="A327">
        <v>1</v>
      </c>
      <c r="B327">
        <v>0</v>
      </c>
      <c r="C327" t="s">
        <v>21</v>
      </c>
      <c r="D327" t="s">
        <v>21</v>
      </c>
      <c r="E327" t="b">
        <v>0</v>
      </c>
      <c r="F327" t="s">
        <v>7</v>
      </c>
    </row>
    <row r="328" spans="1:6" x14ac:dyDescent="0.2">
      <c r="A328">
        <v>1</v>
      </c>
      <c r="B328">
        <v>0</v>
      </c>
      <c r="C328" t="s">
        <v>21</v>
      </c>
      <c r="D328" t="s">
        <v>21</v>
      </c>
      <c r="E328" t="b">
        <v>0</v>
      </c>
      <c r="F328" t="s">
        <v>7</v>
      </c>
    </row>
    <row r="329" spans="1:6" x14ac:dyDescent="0.2">
      <c r="A329">
        <v>1</v>
      </c>
      <c r="B329">
        <v>0</v>
      </c>
      <c r="C329" t="s">
        <v>21</v>
      </c>
      <c r="D329" t="s">
        <v>21</v>
      </c>
      <c r="E329" t="b">
        <v>0</v>
      </c>
      <c r="F329" t="s">
        <v>7</v>
      </c>
    </row>
    <row r="330" spans="1:6" x14ac:dyDescent="0.2">
      <c r="A330">
        <v>100</v>
      </c>
      <c r="B330">
        <v>10</v>
      </c>
      <c r="C330" t="s">
        <v>18</v>
      </c>
      <c r="D330" t="s">
        <v>12</v>
      </c>
      <c r="E330" t="b">
        <v>0</v>
      </c>
      <c r="F330" t="s">
        <v>7</v>
      </c>
    </row>
    <row r="331" spans="1:6" x14ac:dyDescent="0.2">
      <c r="A331">
        <v>100</v>
      </c>
      <c r="B331">
        <v>10</v>
      </c>
      <c r="C331" t="s">
        <v>6</v>
      </c>
      <c r="D331" t="s">
        <v>12</v>
      </c>
      <c r="E331" t="b">
        <v>0</v>
      </c>
      <c r="F331" t="s">
        <v>7</v>
      </c>
    </row>
    <row r="332" spans="1:6" x14ac:dyDescent="0.2">
      <c r="A332">
        <v>1</v>
      </c>
      <c r="B332">
        <v>0</v>
      </c>
      <c r="C332" t="s">
        <v>21</v>
      </c>
      <c r="D332" t="s">
        <v>21</v>
      </c>
      <c r="E332" t="b">
        <v>0</v>
      </c>
      <c r="F332" t="s">
        <v>7</v>
      </c>
    </row>
    <row r="333" spans="1:6" x14ac:dyDescent="0.2">
      <c r="A333">
        <v>1</v>
      </c>
      <c r="B333">
        <v>0</v>
      </c>
      <c r="C333" t="s">
        <v>21</v>
      </c>
      <c r="D333" t="s">
        <v>21</v>
      </c>
      <c r="E333" t="b">
        <v>0</v>
      </c>
      <c r="F333" t="s">
        <v>7</v>
      </c>
    </row>
    <row r="334" spans="1:6" x14ac:dyDescent="0.2">
      <c r="A334">
        <v>1</v>
      </c>
      <c r="B334">
        <v>0</v>
      </c>
      <c r="C334" t="s">
        <v>21</v>
      </c>
      <c r="D334" t="s">
        <v>21</v>
      </c>
      <c r="E334" t="b">
        <v>0</v>
      </c>
      <c r="F334" t="s">
        <v>7</v>
      </c>
    </row>
    <row r="335" spans="1:6" x14ac:dyDescent="0.2">
      <c r="A335">
        <v>100</v>
      </c>
      <c r="B335">
        <v>10</v>
      </c>
      <c r="C335" t="s">
        <v>19</v>
      </c>
      <c r="D335" t="s">
        <v>12</v>
      </c>
      <c r="E335" t="b">
        <v>0</v>
      </c>
      <c r="F335" t="s">
        <v>7</v>
      </c>
    </row>
    <row r="336" spans="1:6" x14ac:dyDescent="0.2">
      <c r="A336">
        <v>1</v>
      </c>
      <c r="B336">
        <v>0</v>
      </c>
      <c r="C336" t="s">
        <v>21</v>
      </c>
      <c r="D336" t="s">
        <v>21</v>
      </c>
      <c r="E336" t="b">
        <v>0</v>
      </c>
      <c r="F336" t="s">
        <v>7</v>
      </c>
    </row>
    <row r="337" spans="1:6" x14ac:dyDescent="0.2">
      <c r="A337">
        <v>1</v>
      </c>
      <c r="B337">
        <v>0</v>
      </c>
      <c r="C337" t="s">
        <v>21</v>
      </c>
      <c r="D337" t="s">
        <v>21</v>
      </c>
      <c r="E337" t="b">
        <v>0</v>
      </c>
      <c r="F337" t="s">
        <v>7</v>
      </c>
    </row>
    <row r="338" spans="1:6" x14ac:dyDescent="0.2">
      <c r="A338">
        <v>1</v>
      </c>
      <c r="B338">
        <v>0</v>
      </c>
      <c r="C338" t="s">
        <v>21</v>
      </c>
      <c r="D338" t="s">
        <v>21</v>
      </c>
      <c r="E338" t="b">
        <v>0</v>
      </c>
      <c r="F338" t="s">
        <v>7</v>
      </c>
    </row>
    <row r="339" spans="1:6" x14ac:dyDescent="0.2">
      <c r="A339">
        <v>1</v>
      </c>
      <c r="B339">
        <v>0</v>
      </c>
      <c r="C339" t="s">
        <v>21</v>
      </c>
      <c r="D339" t="s">
        <v>21</v>
      </c>
      <c r="E339" t="b">
        <v>0</v>
      </c>
      <c r="F339" t="s">
        <v>7</v>
      </c>
    </row>
    <row r="340" spans="1:6" x14ac:dyDescent="0.2">
      <c r="A340">
        <v>1</v>
      </c>
      <c r="B340">
        <v>0</v>
      </c>
      <c r="C340" t="s">
        <v>21</v>
      </c>
      <c r="D340" t="s">
        <v>21</v>
      </c>
      <c r="E340" t="b">
        <v>0</v>
      </c>
      <c r="F340" t="s">
        <v>7</v>
      </c>
    </row>
    <row r="341" spans="1:6" x14ac:dyDescent="0.2">
      <c r="A341">
        <v>1</v>
      </c>
      <c r="B341">
        <v>0</v>
      </c>
      <c r="C341" t="s">
        <v>21</v>
      </c>
      <c r="D341" t="s">
        <v>21</v>
      </c>
      <c r="E341" t="b">
        <v>0</v>
      </c>
      <c r="F341" t="s">
        <v>7</v>
      </c>
    </row>
    <row r="342" spans="1:6" x14ac:dyDescent="0.2">
      <c r="A342">
        <v>100</v>
      </c>
      <c r="B342">
        <v>10</v>
      </c>
      <c r="C342" t="s">
        <v>19</v>
      </c>
      <c r="D342" t="s">
        <v>12</v>
      </c>
      <c r="E342" t="b">
        <v>0</v>
      </c>
      <c r="F342" t="s">
        <v>7</v>
      </c>
    </row>
    <row r="343" spans="1:6" x14ac:dyDescent="0.2">
      <c r="A343">
        <v>0</v>
      </c>
      <c r="B343">
        <v>0</v>
      </c>
      <c r="C343" t="s">
        <v>18</v>
      </c>
      <c r="D343" t="s">
        <v>18</v>
      </c>
      <c r="E343" t="b">
        <v>0</v>
      </c>
      <c r="F343" t="s">
        <v>7</v>
      </c>
    </row>
    <row r="344" spans="1:6" x14ac:dyDescent="0.2">
      <c r="A344">
        <v>0</v>
      </c>
      <c r="B344">
        <v>0</v>
      </c>
      <c r="C344" t="s">
        <v>6</v>
      </c>
      <c r="D344" t="s">
        <v>6</v>
      </c>
      <c r="E344" t="b">
        <v>0</v>
      </c>
      <c r="F344" t="s">
        <v>7</v>
      </c>
    </row>
    <row r="345" spans="1:6" x14ac:dyDescent="0.2">
      <c r="A345">
        <v>0</v>
      </c>
      <c r="B345">
        <v>0</v>
      </c>
      <c r="C345" t="s">
        <v>18</v>
      </c>
      <c r="D345" t="s">
        <v>18</v>
      </c>
      <c r="E345" t="b">
        <v>0</v>
      </c>
      <c r="F345" t="s">
        <v>7</v>
      </c>
    </row>
    <row r="346" spans="1:6" x14ac:dyDescent="0.2">
      <c r="A346">
        <v>100</v>
      </c>
      <c r="B346">
        <v>10</v>
      </c>
      <c r="C346" t="s">
        <v>22</v>
      </c>
      <c r="D346" t="s">
        <v>12</v>
      </c>
      <c r="E346" t="b">
        <v>0</v>
      </c>
      <c r="F346" t="s">
        <v>7</v>
      </c>
    </row>
    <row r="347" spans="1:6" x14ac:dyDescent="0.2">
      <c r="A347">
        <v>0</v>
      </c>
      <c r="B347">
        <v>0</v>
      </c>
      <c r="C347" t="s">
        <v>6</v>
      </c>
      <c r="D347" t="s">
        <v>6</v>
      </c>
      <c r="E347" t="b">
        <v>0</v>
      </c>
      <c r="F347" t="s">
        <v>7</v>
      </c>
    </row>
    <row r="348" spans="1:6" x14ac:dyDescent="0.2">
      <c r="A348">
        <v>0</v>
      </c>
      <c r="B348">
        <v>0</v>
      </c>
      <c r="C348" t="s">
        <v>18</v>
      </c>
      <c r="D348" t="s">
        <v>18</v>
      </c>
      <c r="E348" t="b">
        <v>0</v>
      </c>
      <c r="F348" t="s">
        <v>7</v>
      </c>
    </row>
    <row r="349" spans="1:6" x14ac:dyDescent="0.2">
      <c r="A349">
        <v>0</v>
      </c>
      <c r="B349">
        <v>0</v>
      </c>
      <c r="C349" t="s">
        <v>6</v>
      </c>
      <c r="D349" t="s">
        <v>6</v>
      </c>
      <c r="E349" t="b">
        <v>0</v>
      </c>
      <c r="F349" t="s">
        <v>7</v>
      </c>
    </row>
    <row r="350" spans="1:6" x14ac:dyDescent="0.2">
      <c r="A350">
        <v>0</v>
      </c>
      <c r="B350">
        <v>0</v>
      </c>
      <c r="C350" t="s">
        <v>18</v>
      </c>
      <c r="D350" t="s">
        <v>18</v>
      </c>
      <c r="E350" t="b">
        <v>0</v>
      </c>
      <c r="F350" t="s">
        <v>7</v>
      </c>
    </row>
    <row r="351" spans="1:6" x14ac:dyDescent="0.2">
      <c r="A351">
        <v>0</v>
      </c>
      <c r="B351">
        <v>0</v>
      </c>
      <c r="C351" t="s">
        <v>6</v>
      </c>
      <c r="D351" t="s">
        <v>6</v>
      </c>
      <c r="E351" t="b">
        <v>0</v>
      </c>
      <c r="F351" t="s">
        <v>7</v>
      </c>
    </row>
    <row r="352" spans="1:6" x14ac:dyDescent="0.2">
      <c r="A352">
        <v>0</v>
      </c>
      <c r="B352">
        <v>0</v>
      </c>
      <c r="C352" t="s">
        <v>18</v>
      </c>
      <c r="D352" t="s">
        <v>18</v>
      </c>
      <c r="E352" t="b">
        <v>0</v>
      </c>
      <c r="F352" t="s">
        <v>7</v>
      </c>
    </row>
    <row r="353" spans="1:6" x14ac:dyDescent="0.2">
      <c r="A353">
        <v>0</v>
      </c>
      <c r="B353">
        <v>0</v>
      </c>
      <c r="C353" t="s">
        <v>6</v>
      </c>
      <c r="D353" t="s">
        <v>6</v>
      </c>
      <c r="E353" t="b">
        <v>0</v>
      </c>
      <c r="F353" t="s">
        <v>7</v>
      </c>
    </row>
    <row r="354" spans="1:6" x14ac:dyDescent="0.2">
      <c r="A354">
        <v>0</v>
      </c>
      <c r="B354">
        <v>0</v>
      </c>
      <c r="C354" t="s">
        <v>18</v>
      </c>
      <c r="D354" t="s">
        <v>18</v>
      </c>
      <c r="E354" t="b">
        <v>0</v>
      </c>
      <c r="F354" t="s">
        <v>7</v>
      </c>
    </row>
    <row r="355" spans="1:6" x14ac:dyDescent="0.2">
      <c r="A355">
        <v>0</v>
      </c>
      <c r="B355">
        <v>0</v>
      </c>
      <c r="C355" t="s">
        <v>6</v>
      </c>
      <c r="D355" t="s">
        <v>6</v>
      </c>
      <c r="E355" t="b">
        <v>0</v>
      </c>
      <c r="F355" t="s">
        <v>7</v>
      </c>
    </row>
    <row r="356" spans="1:6" x14ac:dyDescent="0.2">
      <c r="A356">
        <v>0</v>
      </c>
      <c r="B356">
        <v>0</v>
      </c>
      <c r="C356" t="s">
        <v>18</v>
      </c>
      <c r="D356" t="s">
        <v>18</v>
      </c>
      <c r="E356" t="b">
        <v>0</v>
      </c>
      <c r="F356" t="s">
        <v>7</v>
      </c>
    </row>
    <row r="357" spans="1:6" x14ac:dyDescent="0.2">
      <c r="A357">
        <v>100</v>
      </c>
      <c r="B357">
        <v>10</v>
      </c>
      <c r="C357" t="s">
        <v>22</v>
      </c>
      <c r="D357" t="s">
        <v>12</v>
      </c>
      <c r="E357" t="b">
        <v>0</v>
      </c>
      <c r="F357" t="s">
        <v>7</v>
      </c>
    </row>
    <row r="358" spans="1:6" x14ac:dyDescent="0.2">
      <c r="A358">
        <v>0</v>
      </c>
      <c r="B358">
        <v>0</v>
      </c>
      <c r="C358" t="s">
        <v>18</v>
      </c>
      <c r="D358" t="s">
        <v>18</v>
      </c>
      <c r="E358" t="b">
        <v>0</v>
      </c>
      <c r="F358" t="s">
        <v>7</v>
      </c>
    </row>
    <row r="359" spans="1:6" x14ac:dyDescent="0.2">
      <c r="A359">
        <v>0</v>
      </c>
      <c r="B359">
        <v>0</v>
      </c>
      <c r="C359" t="s">
        <v>6</v>
      </c>
      <c r="D359" t="s">
        <v>6</v>
      </c>
      <c r="E359" t="b">
        <v>0</v>
      </c>
      <c r="F359" t="s">
        <v>7</v>
      </c>
    </row>
    <row r="360" spans="1:6" x14ac:dyDescent="0.2">
      <c r="A360">
        <v>0</v>
      </c>
      <c r="B360">
        <v>0</v>
      </c>
      <c r="C360" t="s">
        <v>6</v>
      </c>
      <c r="D360" t="s">
        <v>6</v>
      </c>
      <c r="E360" t="b">
        <v>0</v>
      </c>
      <c r="F360" t="s">
        <v>7</v>
      </c>
    </row>
    <row r="361" spans="1:6" x14ac:dyDescent="0.2">
      <c r="A361">
        <v>0</v>
      </c>
      <c r="B361">
        <v>0</v>
      </c>
      <c r="C361" t="s">
        <v>18</v>
      </c>
      <c r="D361" t="s">
        <v>18</v>
      </c>
      <c r="E361" t="b">
        <v>0</v>
      </c>
      <c r="F361" t="s">
        <v>7</v>
      </c>
    </row>
    <row r="362" spans="1:6" x14ac:dyDescent="0.2">
      <c r="A362">
        <v>0</v>
      </c>
      <c r="B362">
        <v>0</v>
      </c>
      <c r="C362" t="s">
        <v>6</v>
      </c>
      <c r="D362" t="s">
        <v>6</v>
      </c>
      <c r="E362" t="b">
        <v>0</v>
      </c>
      <c r="F362" t="s">
        <v>7</v>
      </c>
    </row>
    <row r="363" spans="1:6" x14ac:dyDescent="0.2">
      <c r="A363">
        <v>0</v>
      </c>
      <c r="B363">
        <v>0</v>
      </c>
      <c r="C363" t="s">
        <v>18</v>
      </c>
      <c r="D363" t="s">
        <v>18</v>
      </c>
      <c r="E363" t="b">
        <v>0</v>
      </c>
      <c r="F363" t="s">
        <v>7</v>
      </c>
    </row>
    <row r="364" spans="1:6" x14ac:dyDescent="0.2">
      <c r="A364">
        <v>0</v>
      </c>
      <c r="B364">
        <v>0</v>
      </c>
      <c r="C364" t="s">
        <v>6</v>
      </c>
      <c r="D364" t="s">
        <v>6</v>
      </c>
      <c r="E364" t="b">
        <v>0</v>
      </c>
      <c r="F364" t="s">
        <v>7</v>
      </c>
    </row>
    <row r="365" spans="1:6" x14ac:dyDescent="0.2">
      <c r="A365">
        <v>0</v>
      </c>
      <c r="B365">
        <v>0</v>
      </c>
      <c r="C365" t="s">
        <v>18</v>
      </c>
      <c r="D365" t="s">
        <v>18</v>
      </c>
      <c r="E365" t="b">
        <v>0</v>
      </c>
      <c r="F365" t="s">
        <v>7</v>
      </c>
    </row>
    <row r="366" spans="1:6" x14ac:dyDescent="0.2">
      <c r="A366">
        <v>0</v>
      </c>
      <c r="B366">
        <v>0</v>
      </c>
      <c r="C366" t="s">
        <v>6</v>
      </c>
      <c r="D366" t="s">
        <v>6</v>
      </c>
      <c r="E366" t="b">
        <v>0</v>
      </c>
      <c r="F366" t="s">
        <v>7</v>
      </c>
    </row>
    <row r="367" spans="1:6" x14ac:dyDescent="0.2">
      <c r="A367">
        <v>0</v>
      </c>
      <c r="B367">
        <v>0</v>
      </c>
      <c r="C367" t="s">
        <v>18</v>
      </c>
      <c r="D367" t="s">
        <v>18</v>
      </c>
      <c r="E367" t="b">
        <v>0</v>
      </c>
      <c r="F367" t="s">
        <v>7</v>
      </c>
    </row>
    <row r="368" spans="1:6" x14ac:dyDescent="0.2">
      <c r="A368">
        <v>0</v>
      </c>
      <c r="B368">
        <v>0</v>
      </c>
      <c r="C368" t="s">
        <v>6</v>
      </c>
      <c r="D368" t="s">
        <v>6</v>
      </c>
      <c r="E368" t="b">
        <v>0</v>
      </c>
      <c r="F368" t="s">
        <v>7</v>
      </c>
    </row>
    <row r="369" spans="1:6" x14ac:dyDescent="0.2">
      <c r="A369">
        <v>0</v>
      </c>
      <c r="B369">
        <v>0</v>
      </c>
      <c r="C369" t="s">
        <v>18</v>
      </c>
      <c r="D369" t="s">
        <v>18</v>
      </c>
      <c r="E369" t="b">
        <v>0</v>
      </c>
      <c r="F369" t="s">
        <v>7</v>
      </c>
    </row>
    <row r="370" spans="1:6" x14ac:dyDescent="0.2">
      <c r="A370">
        <v>0</v>
      </c>
      <c r="B370">
        <v>0</v>
      </c>
      <c r="C370" t="s">
        <v>6</v>
      </c>
      <c r="D370" t="s">
        <v>6</v>
      </c>
      <c r="E370" t="b">
        <v>0</v>
      </c>
      <c r="F370" t="s">
        <v>7</v>
      </c>
    </row>
    <row r="371" spans="1:6" x14ac:dyDescent="0.2">
      <c r="A371">
        <v>0</v>
      </c>
      <c r="B371">
        <v>0</v>
      </c>
      <c r="C371" t="s">
        <v>18</v>
      </c>
      <c r="D371" t="s">
        <v>18</v>
      </c>
      <c r="E371" t="b">
        <v>0</v>
      </c>
      <c r="F371" t="s">
        <v>7</v>
      </c>
    </row>
    <row r="372" spans="1:6" x14ac:dyDescent="0.2">
      <c r="A372">
        <v>0</v>
      </c>
      <c r="B372">
        <v>0</v>
      </c>
      <c r="C372" t="s">
        <v>6</v>
      </c>
      <c r="D372" t="s">
        <v>6</v>
      </c>
      <c r="E372" t="b">
        <v>0</v>
      </c>
      <c r="F372" t="s">
        <v>7</v>
      </c>
    </row>
    <row r="373" spans="1:6" x14ac:dyDescent="0.2">
      <c r="A373">
        <v>0</v>
      </c>
      <c r="B373">
        <v>0</v>
      </c>
      <c r="C373" t="s">
        <v>18</v>
      </c>
      <c r="D373" t="s">
        <v>18</v>
      </c>
      <c r="E373" t="b">
        <v>0</v>
      </c>
      <c r="F373" t="s">
        <v>7</v>
      </c>
    </row>
    <row r="374" spans="1:6" x14ac:dyDescent="0.2">
      <c r="A374">
        <v>0</v>
      </c>
      <c r="B374">
        <v>0</v>
      </c>
      <c r="C374" t="s">
        <v>6</v>
      </c>
      <c r="D374" t="s">
        <v>6</v>
      </c>
      <c r="E374" t="b">
        <v>0</v>
      </c>
      <c r="F374" t="s">
        <v>7</v>
      </c>
    </row>
    <row r="375" spans="1:6" x14ac:dyDescent="0.2">
      <c r="A375">
        <v>0</v>
      </c>
      <c r="B375">
        <v>0</v>
      </c>
      <c r="C375" t="s">
        <v>18</v>
      </c>
      <c r="D375" t="s">
        <v>18</v>
      </c>
      <c r="E375" t="b">
        <v>0</v>
      </c>
      <c r="F375" t="s">
        <v>7</v>
      </c>
    </row>
    <row r="376" spans="1:6" x14ac:dyDescent="0.2">
      <c r="A376">
        <v>0</v>
      </c>
      <c r="B376">
        <v>0</v>
      </c>
      <c r="C376" t="s">
        <v>6</v>
      </c>
      <c r="D376" t="s">
        <v>6</v>
      </c>
      <c r="E376" t="b">
        <v>0</v>
      </c>
      <c r="F376" t="s">
        <v>7</v>
      </c>
    </row>
    <row r="377" spans="1:6" x14ac:dyDescent="0.2">
      <c r="A377">
        <v>0</v>
      </c>
      <c r="B377">
        <v>0</v>
      </c>
      <c r="C377" t="s">
        <v>18</v>
      </c>
      <c r="D377" t="s">
        <v>18</v>
      </c>
      <c r="E377" t="b">
        <v>0</v>
      </c>
      <c r="F377" t="s">
        <v>7</v>
      </c>
    </row>
    <row r="378" spans="1:6" x14ac:dyDescent="0.2">
      <c r="A378">
        <v>0</v>
      </c>
      <c r="B378">
        <v>0</v>
      </c>
      <c r="C378" t="s">
        <v>6</v>
      </c>
      <c r="D378" t="s">
        <v>6</v>
      </c>
      <c r="E378" t="b">
        <v>0</v>
      </c>
      <c r="F378" t="s">
        <v>7</v>
      </c>
    </row>
    <row r="379" spans="1:6" x14ac:dyDescent="0.2">
      <c r="A379">
        <v>0</v>
      </c>
      <c r="B379">
        <v>0</v>
      </c>
      <c r="C379" t="s">
        <v>18</v>
      </c>
      <c r="D379" t="s">
        <v>18</v>
      </c>
      <c r="E379" t="b">
        <v>0</v>
      </c>
      <c r="F379" t="s">
        <v>7</v>
      </c>
    </row>
    <row r="380" spans="1:6" x14ac:dyDescent="0.2">
      <c r="A380">
        <v>0</v>
      </c>
      <c r="B380">
        <v>0</v>
      </c>
      <c r="C380" t="s">
        <v>6</v>
      </c>
      <c r="D380" t="s">
        <v>6</v>
      </c>
      <c r="E380" t="b">
        <v>0</v>
      </c>
      <c r="F380" t="s">
        <v>7</v>
      </c>
    </row>
    <row r="381" spans="1:6" x14ac:dyDescent="0.2">
      <c r="A381">
        <v>0</v>
      </c>
      <c r="B381">
        <v>0</v>
      </c>
      <c r="C381" t="s">
        <v>18</v>
      </c>
      <c r="D381" t="s">
        <v>18</v>
      </c>
      <c r="E381" t="b">
        <v>0</v>
      </c>
      <c r="F381" t="s">
        <v>7</v>
      </c>
    </row>
    <row r="382" spans="1:6" x14ac:dyDescent="0.2">
      <c r="A382">
        <v>0</v>
      </c>
      <c r="B382">
        <v>0</v>
      </c>
      <c r="C382" t="s">
        <v>6</v>
      </c>
      <c r="D382" t="s">
        <v>6</v>
      </c>
      <c r="E382" t="b">
        <v>0</v>
      </c>
      <c r="F382" t="s">
        <v>7</v>
      </c>
    </row>
    <row r="383" spans="1:6" x14ac:dyDescent="0.2">
      <c r="A383">
        <v>0</v>
      </c>
      <c r="B383">
        <v>0</v>
      </c>
      <c r="C383" t="s">
        <v>18</v>
      </c>
      <c r="D383" t="s">
        <v>18</v>
      </c>
      <c r="E383" t="b">
        <v>0</v>
      </c>
      <c r="F383" t="s">
        <v>7</v>
      </c>
    </row>
    <row r="384" spans="1:6" x14ac:dyDescent="0.2">
      <c r="A384">
        <v>0</v>
      </c>
      <c r="B384">
        <v>0</v>
      </c>
      <c r="C384" t="s">
        <v>6</v>
      </c>
      <c r="D384" t="s">
        <v>6</v>
      </c>
      <c r="E384" t="b">
        <v>0</v>
      </c>
      <c r="F384" t="s">
        <v>7</v>
      </c>
    </row>
    <row r="385" spans="1:6" x14ac:dyDescent="0.2">
      <c r="A385">
        <v>0</v>
      </c>
      <c r="B385">
        <v>0</v>
      </c>
      <c r="C385" t="s">
        <v>18</v>
      </c>
      <c r="D385" t="s">
        <v>18</v>
      </c>
      <c r="E385" t="b">
        <v>0</v>
      </c>
      <c r="F385" t="s">
        <v>7</v>
      </c>
    </row>
    <row r="386" spans="1:6" x14ac:dyDescent="0.2">
      <c r="A386">
        <v>0</v>
      </c>
      <c r="B386">
        <v>0</v>
      </c>
      <c r="C386" t="s">
        <v>6</v>
      </c>
      <c r="D386" t="s">
        <v>6</v>
      </c>
      <c r="E386" t="b">
        <v>0</v>
      </c>
      <c r="F386" t="s">
        <v>7</v>
      </c>
    </row>
    <row r="387" spans="1:6" x14ac:dyDescent="0.2">
      <c r="A387">
        <v>0</v>
      </c>
      <c r="B387">
        <v>0</v>
      </c>
      <c r="C387" t="s">
        <v>18</v>
      </c>
      <c r="D387" t="s">
        <v>18</v>
      </c>
      <c r="E387" t="b">
        <v>0</v>
      </c>
      <c r="F387" t="s">
        <v>7</v>
      </c>
    </row>
    <row r="388" spans="1:6" x14ac:dyDescent="0.2">
      <c r="A388">
        <v>100</v>
      </c>
      <c r="B388">
        <v>10</v>
      </c>
      <c r="C388" t="s">
        <v>23</v>
      </c>
      <c r="D388" t="s">
        <v>12</v>
      </c>
      <c r="E388" t="b">
        <v>0</v>
      </c>
      <c r="F388" t="s">
        <v>7</v>
      </c>
    </row>
    <row r="389" spans="1:6" x14ac:dyDescent="0.2">
      <c r="A389">
        <v>0</v>
      </c>
      <c r="B389">
        <v>0</v>
      </c>
      <c r="C389" t="s">
        <v>6</v>
      </c>
      <c r="D389" t="s">
        <v>6</v>
      </c>
      <c r="E389" t="b">
        <v>0</v>
      </c>
      <c r="F389" t="s">
        <v>7</v>
      </c>
    </row>
    <row r="390" spans="1:6" x14ac:dyDescent="0.2">
      <c r="A390">
        <v>0</v>
      </c>
      <c r="B390">
        <v>0</v>
      </c>
      <c r="C390" t="s">
        <v>6</v>
      </c>
      <c r="D390" t="s">
        <v>6</v>
      </c>
      <c r="E390" t="b">
        <v>0</v>
      </c>
      <c r="F390" t="s">
        <v>7</v>
      </c>
    </row>
    <row r="391" spans="1:6" x14ac:dyDescent="0.2">
      <c r="A391">
        <v>0</v>
      </c>
      <c r="B391">
        <v>0</v>
      </c>
      <c r="C391" t="s">
        <v>6</v>
      </c>
      <c r="D391" t="s">
        <v>6</v>
      </c>
      <c r="E391" t="b">
        <v>0</v>
      </c>
      <c r="F391" t="s">
        <v>7</v>
      </c>
    </row>
    <row r="392" spans="1:6" x14ac:dyDescent="0.2">
      <c r="A392">
        <v>0</v>
      </c>
      <c r="B392">
        <v>0</v>
      </c>
      <c r="C392" t="s">
        <v>6</v>
      </c>
      <c r="D392" t="s">
        <v>6</v>
      </c>
      <c r="E392" t="b">
        <v>0</v>
      </c>
      <c r="F392" t="s">
        <v>7</v>
      </c>
    </row>
    <row r="393" spans="1:6" x14ac:dyDescent="0.2">
      <c r="A393">
        <v>0</v>
      </c>
      <c r="B393">
        <v>0</v>
      </c>
      <c r="C393" t="s">
        <v>6</v>
      </c>
      <c r="D393" t="s">
        <v>6</v>
      </c>
      <c r="E393" t="b">
        <v>0</v>
      </c>
      <c r="F393" t="s">
        <v>7</v>
      </c>
    </row>
    <row r="394" spans="1:6" x14ac:dyDescent="0.2">
      <c r="A394">
        <v>0</v>
      </c>
      <c r="B394">
        <v>0</v>
      </c>
      <c r="C394" t="s">
        <v>6</v>
      </c>
      <c r="D394" t="s">
        <v>6</v>
      </c>
      <c r="E394" t="b">
        <v>0</v>
      </c>
      <c r="F394" t="s">
        <v>7</v>
      </c>
    </row>
    <row r="395" spans="1:6" x14ac:dyDescent="0.2">
      <c r="A395">
        <v>0</v>
      </c>
      <c r="B395">
        <v>0</v>
      </c>
      <c r="C395" t="s">
        <v>6</v>
      </c>
      <c r="D395" t="s">
        <v>6</v>
      </c>
      <c r="E395" t="b">
        <v>0</v>
      </c>
      <c r="F395" t="s">
        <v>7</v>
      </c>
    </row>
    <row r="396" spans="1:6" x14ac:dyDescent="0.2">
      <c r="A396">
        <v>0</v>
      </c>
      <c r="B396">
        <v>0</v>
      </c>
      <c r="C396" t="s">
        <v>6</v>
      </c>
      <c r="D396" t="s">
        <v>6</v>
      </c>
      <c r="E396" t="b">
        <v>0</v>
      </c>
      <c r="F396" t="s">
        <v>7</v>
      </c>
    </row>
    <row r="397" spans="1:6" x14ac:dyDescent="0.2">
      <c r="A397">
        <v>0</v>
      </c>
      <c r="B397">
        <v>0</v>
      </c>
      <c r="C397" t="s">
        <v>6</v>
      </c>
      <c r="D397" t="s">
        <v>6</v>
      </c>
      <c r="E397" t="b">
        <v>0</v>
      </c>
      <c r="F397" t="s">
        <v>7</v>
      </c>
    </row>
    <row r="398" spans="1:6" x14ac:dyDescent="0.2">
      <c r="A398">
        <v>0</v>
      </c>
      <c r="B398">
        <v>0</v>
      </c>
      <c r="C398" t="s">
        <v>6</v>
      </c>
      <c r="D398" t="s">
        <v>6</v>
      </c>
      <c r="E398" t="b">
        <v>0</v>
      </c>
      <c r="F398" t="s">
        <v>7</v>
      </c>
    </row>
    <row r="399" spans="1:6" x14ac:dyDescent="0.2">
      <c r="A399">
        <v>0</v>
      </c>
      <c r="B399">
        <v>0</v>
      </c>
      <c r="C399" t="s">
        <v>6</v>
      </c>
      <c r="D399" t="s">
        <v>6</v>
      </c>
      <c r="E399" t="b">
        <v>0</v>
      </c>
      <c r="F399" t="s">
        <v>7</v>
      </c>
    </row>
    <row r="400" spans="1:6" x14ac:dyDescent="0.2">
      <c r="A400">
        <v>0</v>
      </c>
      <c r="B400">
        <v>0</v>
      </c>
      <c r="C400" t="s">
        <v>6</v>
      </c>
      <c r="D400" t="s">
        <v>6</v>
      </c>
      <c r="E400" t="b">
        <v>0</v>
      </c>
      <c r="F400" t="s">
        <v>7</v>
      </c>
    </row>
    <row r="401" spans="1:6" x14ac:dyDescent="0.2">
      <c r="A401">
        <v>0</v>
      </c>
      <c r="B401">
        <v>0</v>
      </c>
      <c r="C401" t="s">
        <v>6</v>
      </c>
      <c r="D401" t="s">
        <v>6</v>
      </c>
      <c r="E401" t="b">
        <v>0</v>
      </c>
      <c r="F401" t="s">
        <v>7</v>
      </c>
    </row>
    <row r="402" spans="1:6" x14ac:dyDescent="0.2">
      <c r="A402">
        <v>0</v>
      </c>
      <c r="B402">
        <v>0</v>
      </c>
      <c r="C402" t="s">
        <v>6</v>
      </c>
      <c r="D402" t="s">
        <v>6</v>
      </c>
      <c r="E402" t="b">
        <v>0</v>
      </c>
      <c r="F402" t="s">
        <v>7</v>
      </c>
    </row>
    <row r="403" spans="1:6" x14ac:dyDescent="0.2">
      <c r="A403">
        <v>0</v>
      </c>
      <c r="B403">
        <v>0</v>
      </c>
      <c r="C403" t="s">
        <v>6</v>
      </c>
      <c r="D403" t="s">
        <v>6</v>
      </c>
      <c r="E403" t="b">
        <v>0</v>
      </c>
      <c r="F403" t="s">
        <v>7</v>
      </c>
    </row>
    <row r="404" spans="1:6" x14ac:dyDescent="0.2">
      <c r="A404">
        <v>0</v>
      </c>
      <c r="B404">
        <v>0</v>
      </c>
      <c r="C404" t="s">
        <v>6</v>
      </c>
      <c r="D404" t="s">
        <v>6</v>
      </c>
      <c r="E404" t="b">
        <v>0</v>
      </c>
      <c r="F404" t="s">
        <v>7</v>
      </c>
    </row>
    <row r="405" spans="1:6" x14ac:dyDescent="0.2">
      <c r="A405">
        <v>0</v>
      </c>
      <c r="B405">
        <v>0</v>
      </c>
      <c r="C405" t="s">
        <v>6</v>
      </c>
      <c r="D405" t="s">
        <v>6</v>
      </c>
      <c r="E405" t="b">
        <v>0</v>
      </c>
      <c r="F405" t="s">
        <v>7</v>
      </c>
    </row>
    <row r="406" spans="1:6" x14ac:dyDescent="0.2">
      <c r="A406">
        <v>0</v>
      </c>
      <c r="B406">
        <v>0</v>
      </c>
      <c r="C406" t="s">
        <v>18</v>
      </c>
      <c r="D406" t="s">
        <v>18</v>
      </c>
      <c r="E406" t="b">
        <v>0</v>
      </c>
      <c r="F406" t="s">
        <v>7</v>
      </c>
    </row>
    <row r="407" spans="1:6" x14ac:dyDescent="0.2">
      <c r="A407">
        <v>0</v>
      </c>
      <c r="B407">
        <v>0</v>
      </c>
      <c r="C407" t="s">
        <v>6</v>
      </c>
      <c r="D407" t="s">
        <v>6</v>
      </c>
      <c r="E407" t="b">
        <v>0</v>
      </c>
      <c r="F407" t="s">
        <v>7</v>
      </c>
    </row>
    <row r="408" spans="1:6" x14ac:dyDescent="0.2">
      <c r="A408">
        <v>0</v>
      </c>
      <c r="B408">
        <v>0</v>
      </c>
      <c r="C408" t="s">
        <v>18</v>
      </c>
      <c r="D408" t="s">
        <v>18</v>
      </c>
      <c r="E408" t="b">
        <v>0</v>
      </c>
      <c r="F408" t="s">
        <v>7</v>
      </c>
    </row>
    <row r="409" spans="1:6" x14ac:dyDescent="0.2">
      <c r="A409">
        <v>0</v>
      </c>
      <c r="B409">
        <v>0</v>
      </c>
      <c r="C409" t="s">
        <v>6</v>
      </c>
      <c r="D409" t="s">
        <v>6</v>
      </c>
      <c r="E409" t="b">
        <v>0</v>
      </c>
      <c r="F409" t="s">
        <v>7</v>
      </c>
    </row>
    <row r="410" spans="1:6" x14ac:dyDescent="0.2">
      <c r="A410">
        <v>0</v>
      </c>
      <c r="B410">
        <v>0</v>
      </c>
      <c r="C410" t="s">
        <v>6</v>
      </c>
      <c r="D410" t="s">
        <v>6</v>
      </c>
      <c r="E410" t="b">
        <v>0</v>
      </c>
      <c r="F410" t="s">
        <v>7</v>
      </c>
    </row>
    <row r="411" spans="1:6" x14ac:dyDescent="0.2">
      <c r="A411">
        <v>0</v>
      </c>
      <c r="B411">
        <v>0</v>
      </c>
      <c r="C411" t="s">
        <v>18</v>
      </c>
      <c r="D411" t="s">
        <v>18</v>
      </c>
      <c r="E411" t="b">
        <v>0</v>
      </c>
      <c r="F411" t="s">
        <v>7</v>
      </c>
    </row>
    <row r="412" spans="1:6" x14ac:dyDescent="0.2">
      <c r="A412">
        <v>0</v>
      </c>
      <c r="B412">
        <v>0</v>
      </c>
      <c r="C412" t="s">
        <v>6</v>
      </c>
      <c r="D412" t="s">
        <v>6</v>
      </c>
      <c r="E412" t="b">
        <v>0</v>
      </c>
      <c r="F412" t="s">
        <v>7</v>
      </c>
    </row>
    <row r="413" spans="1:6" x14ac:dyDescent="0.2">
      <c r="A413">
        <v>0</v>
      </c>
      <c r="B413">
        <v>0</v>
      </c>
      <c r="C413" t="s">
        <v>18</v>
      </c>
      <c r="D413" t="s">
        <v>18</v>
      </c>
      <c r="E413" t="b">
        <v>0</v>
      </c>
      <c r="F413" t="s">
        <v>7</v>
      </c>
    </row>
    <row r="414" spans="1:6" x14ac:dyDescent="0.2">
      <c r="A414">
        <v>0</v>
      </c>
      <c r="B414">
        <v>0</v>
      </c>
      <c r="C414" t="s">
        <v>6</v>
      </c>
      <c r="D414" t="s">
        <v>6</v>
      </c>
      <c r="E414" t="b">
        <v>0</v>
      </c>
      <c r="F414" t="s">
        <v>7</v>
      </c>
    </row>
    <row r="415" spans="1:6" x14ac:dyDescent="0.2">
      <c r="A415">
        <v>0</v>
      </c>
      <c r="B415">
        <v>0</v>
      </c>
      <c r="C415" t="s">
        <v>18</v>
      </c>
      <c r="D415" t="s">
        <v>18</v>
      </c>
      <c r="E415" t="b">
        <v>0</v>
      </c>
      <c r="F415" t="s">
        <v>7</v>
      </c>
    </row>
    <row r="416" spans="1:6" x14ac:dyDescent="0.2">
      <c r="A416">
        <v>0</v>
      </c>
      <c r="B416">
        <v>0</v>
      </c>
      <c r="C416" t="s">
        <v>6</v>
      </c>
      <c r="D416" t="s">
        <v>6</v>
      </c>
      <c r="E416" t="b">
        <v>0</v>
      </c>
      <c r="F416" t="s">
        <v>7</v>
      </c>
    </row>
    <row r="417" spans="1:6" x14ac:dyDescent="0.2">
      <c r="A417">
        <v>0</v>
      </c>
      <c r="B417">
        <v>0</v>
      </c>
      <c r="C417" t="s">
        <v>18</v>
      </c>
      <c r="D417" t="s">
        <v>18</v>
      </c>
      <c r="E417" t="b">
        <v>0</v>
      </c>
      <c r="F417" t="s">
        <v>7</v>
      </c>
    </row>
    <row r="418" spans="1:6" x14ac:dyDescent="0.2">
      <c r="A418">
        <v>0</v>
      </c>
      <c r="B418">
        <v>0</v>
      </c>
      <c r="C418" t="s">
        <v>6</v>
      </c>
      <c r="D418" t="s">
        <v>6</v>
      </c>
      <c r="E418" t="b">
        <v>0</v>
      </c>
      <c r="F418" t="s">
        <v>7</v>
      </c>
    </row>
    <row r="419" spans="1:6" x14ac:dyDescent="0.2">
      <c r="A419">
        <v>0</v>
      </c>
      <c r="B419">
        <v>0</v>
      </c>
      <c r="C419" t="s">
        <v>18</v>
      </c>
      <c r="D419" t="s">
        <v>18</v>
      </c>
      <c r="E419" t="b">
        <v>0</v>
      </c>
      <c r="F419" t="s">
        <v>7</v>
      </c>
    </row>
    <row r="420" spans="1:6" x14ac:dyDescent="0.2">
      <c r="A420">
        <v>0</v>
      </c>
      <c r="B420">
        <v>0</v>
      </c>
      <c r="C420" t="s">
        <v>6</v>
      </c>
      <c r="D420" t="s">
        <v>6</v>
      </c>
      <c r="E420" t="b">
        <v>0</v>
      </c>
      <c r="F420" t="s">
        <v>7</v>
      </c>
    </row>
    <row r="421" spans="1:6" x14ac:dyDescent="0.2">
      <c r="A421">
        <v>0</v>
      </c>
      <c r="B421">
        <v>0</v>
      </c>
      <c r="C421" t="s">
        <v>18</v>
      </c>
      <c r="D421" t="s">
        <v>18</v>
      </c>
      <c r="E421" t="b">
        <v>0</v>
      </c>
      <c r="F421" t="s">
        <v>7</v>
      </c>
    </row>
    <row r="422" spans="1:6" x14ac:dyDescent="0.2">
      <c r="A422">
        <v>0</v>
      </c>
      <c r="B422">
        <v>0</v>
      </c>
      <c r="C422" t="s">
        <v>6</v>
      </c>
      <c r="D422" t="s">
        <v>6</v>
      </c>
      <c r="E422" t="b">
        <v>0</v>
      </c>
      <c r="F422" t="s">
        <v>7</v>
      </c>
    </row>
    <row r="423" spans="1:6" x14ac:dyDescent="0.2">
      <c r="A423">
        <v>0</v>
      </c>
      <c r="B423">
        <v>0</v>
      </c>
      <c r="C423" t="s">
        <v>18</v>
      </c>
      <c r="D423" t="s">
        <v>18</v>
      </c>
      <c r="E423" t="b">
        <v>0</v>
      </c>
      <c r="F423" t="s">
        <v>7</v>
      </c>
    </row>
    <row r="424" spans="1:6" x14ac:dyDescent="0.2">
      <c r="A424">
        <v>0</v>
      </c>
      <c r="B424">
        <v>0</v>
      </c>
      <c r="C424" t="s">
        <v>6</v>
      </c>
      <c r="D424" t="s">
        <v>6</v>
      </c>
      <c r="E424" t="b">
        <v>0</v>
      </c>
      <c r="F424" t="s">
        <v>7</v>
      </c>
    </row>
    <row r="425" spans="1:6" x14ac:dyDescent="0.2">
      <c r="A425">
        <v>0</v>
      </c>
      <c r="B425">
        <v>0</v>
      </c>
      <c r="C425" t="s">
        <v>18</v>
      </c>
      <c r="D425" t="s">
        <v>18</v>
      </c>
      <c r="E425" t="b">
        <v>0</v>
      </c>
      <c r="F425" t="s">
        <v>7</v>
      </c>
    </row>
    <row r="426" spans="1:6" x14ac:dyDescent="0.2">
      <c r="A426">
        <v>0</v>
      </c>
      <c r="B426">
        <v>0</v>
      </c>
      <c r="C426" t="s">
        <v>6</v>
      </c>
      <c r="D426" t="s">
        <v>6</v>
      </c>
      <c r="E426" t="b">
        <v>0</v>
      </c>
      <c r="F426" t="s">
        <v>7</v>
      </c>
    </row>
    <row r="427" spans="1:6" x14ac:dyDescent="0.2">
      <c r="A427">
        <v>0</v>
      </c>
      <c r="B427">
        <v>0</v>
      </c>
      <c r="C427" t="s">
        <v>18</v>
      </c>
      <c r="D427" t="s">
        <v>18</v>
      </c>
      <c r="E427" t="b">
        <v>0</v>
      </c>
      <c r="F427" t="s">
        <v>7</v>
      </c>
    </row>
    <row r="428" spans="1:6" x14ac:dyDescent="0.2">
      <c r="A428">
        <v>0</v>
      </c>
      <c r="B428">
        <v>0</v>
      </c>
      <c r="C428" t="s">
        <v>6</v>
      </c>
      <c r="D428" t="s">
        <v>6</v>
      </c>
      <c r="E428" t="b">
        <v>0</v>
      </c>
      <c r="F428" t="s">
        <v>7</v>
      </c>
    </row>
    <row r="429" spans="1:6" x14ac:dyDescent="0.2">
      <c r="A429">
        <v>0</v>
      </c>
      <c r="B429">
        <v>0</v>
      </c>
      <c r="C429" t="s">
        <v>18</v>
      </c>
      <c r="D429" t="s">
        <v>18</v>
      </c>
      <c r="E429" t="b">
        <v>0</v>
      </c>
      <c r="F429" t="s">
        <v>7</v>
      </c>
    </row>
    <row r="430" spans="1:6" x14ac:dyDescent="0.2">
      <c r="A430">
        <v>0</v>
      </c>
      <c r="B430">
        <v>0</v>
      </c>
      <c r="C430" t="s">
        <v>6</v>
      </c>
      <c r="D430" t="s">
        <v>6</v>
      </c>
      <c r="E430" t="b">
        <v>0</v>
      </c>
      <c r="F430" t="s">
        <v>7</v>
      </c>
    </row>
    <row r="431" spans="1:6" x14ac:dyDescent="0.2">
      <c r="A431">
        <v>0</v>
      </c>
      <c r="B431">
        <v>0</v>
      </c>
      <c r="C431" t="s">
        <v>18</v>
      </c>
      <c r="D431" t="s">
        <v>18</v>
      </c>
      <c r="E431" t="b">
        <v>0</v>
      </c>
      <c r="F431" t="s">
        <v>7</v>
      </c>
    </row>
    <row r="432" spans="1:6" x14ac:dyDescent="0.2">
      <c r="A432">
        <v>0</v>
      </c>
      <c r="B432">
        <v>0</v>
      </c>
      <c r="C432" t="s">
        <v>6</v>
      </c>
      <c r="D432" t="s">
        <v>6</v>
      </c>
      <c r="E432" t="b">
        <v>0</v>
      </c>
      <c r="F432" t="s">
        <v>7</v>
      </c>
    </row>
    <row r="433" spans="1:6" x14ac:dyDescent="0.2">
      <c r="A433">
        <v>0</v>
      </c>
      <c r="B433">
        <v>0</v>
      </c>
      <c r="C433" t="s">
        <v>18</v>
      </c>
      <c r="D433" t="s">
        <v>18</v>
      </c>
      <c r="E433" t="b">
        <v>0</v>
      </c>
      <c r="F433" t="s">
        <v>7</v>
      </c>
    </row>
    <row r="434" spans="1:6" x14ac:dyDescent="0.2">
      <c r="A434">
        <v>0</v>
      </c>
      <c r="B434">
        <v>0</v>
      </c>
      <c r="C434" t="s">
        <v>6</v>
      </c>
      <c r="D434" t="s">
        <v>6</v>
      </c>
      <c r="E434" t="b">
        <v>0</v>
      </c>
      <c r="F434" t="s">
        <v>7</v>
      </c>
    </row>
    <row r="435" spans="1:6" x14ac:dyDescent="0.2">
      <c r="A435">
        <v>0</v>
      </c>
      <c r="B435">
        <v>0</v>
      </c>
      <c r="C435" t="s">
        <v>18</v>
      </c>
      <c r="D435" t="s">
        <v>18</v>
      </c>
      <c r="E435" t="b">
        <v>0</v>
      </c>
      <c r="F435" t="s">
        <v>7</v>
      </c>
    </row>
    <row r="436" spans="1:6" x14ac:dyDescent="0.2">
      <c r="A436">
        <v>0</v>
      </c>
      <c r="B436">
        <v>0</v>
      </c>
      <c r="C436" t="s">
        <v>6</v>
      </c>
      <c r="D436" t="s">
        <v>6</v>
      </c>
      <c r="E436" t="b">
        <v>0</v>
      </c>
      <c r="F436" t="s">
        <v>7</v>
      </c>
    </row>
    <row r="437" spans="1:6" x14ac:dyDescent="0.2">
      <c r="A437">
        <v>0</v>
      </c>
      <c r="B437">
        <v>0</v>
      </c>
      <c r="C437" t="s">
        <v>18</v>
      </c>
      <c r="D437" t="s">
        <v>18</v>
      </c>
      <c r="E437" t="b">
        <v>0</v>
      </c>
      <c r="F437" t="s">
        <v>7</v>
      </c>
    </row>
    <row r="438" spans="1:6" x14ac:dyDescent="0.2">
      <c r="A438">
        <v>0</v>
      </c>
      <c r="B438">
        <v>0</v>
      </c>
      <c r="C438" t="s">
        <v>6</v>
      </c>
      <c r="D438" t="s">
        <v>6</v>
      </c>
      <c r="E438" t="b">
        <v>0</v>
      </c>
      <c r="F438" t="s">
        <v>7</v>
      </c>
    </row>
    <row r="439" spans="1:6" x14ac:dyDescent="0.2">
      <c r="A439">
        <v>0</v>
      </c>
      <c r="B439">
        <v>0</v>
      </c>
      <c r="C439" t="s">
        <v>18</v>
      </c>
      <c r="D439" t="s">
        <v>18</v>
      </c>
      <c r="E439" t="b">
        <v>0</v>
      </c>
      <c r="F439" t="s">
        <v>7</v>
      </c>
    </row>
    <row r="440" spans="1:6" x14ac:dyDescent="0.2">
      <c r="A440">
        <v>0</v>
      </c>
      <c r="B440">
        <v>0</v>
      </c>
      <c r="C440" t="s">
        <v>6</v>
      </c>
      <c r="D440" t="s">
        <v>6</v>
      </c>
      <c r="E440" t="b">
        <v>0</v>
      </c>
      <c r="F440" t="s">
        <v>7</v>
      </c>
    </row>
    <row r="441" spans="1:6" x14ac:dyDescent="0.2">
      <c r="A441">
        <v>0</v>
      </c>
      <c r="B441">
        <v>0</v>
      </c>
      <c r="C441" t="s">
        <v>18</v>
      </c>
      <c r="D441" t="s">
        <v>18</v>
      </c>
      <c r="E441" t="b">
        <v>0</v>
      </c>
      <c r="F441" t="s">
        <v>7</v>
      </c>
    </row>
    <row r="442" spans="1:6" x14ac:dyDescent="0.2">
      <c r="A442">
        <v>0</v>
      </c>
      <c r="B442">
        <v>0</v>
      </c>
      <c r="C442" t="s">
        <v>6</v>
      </c>
      <c r="D442" t="s">
        <v>6</v>
      </c>
      <c r="E442" t="b">
        <v>0</v>
      </c>
      <c r="F442" t="s">
        <v>7</v>
      </c>
    </row>
    <row r="443" spans="1:6" x14ac:dyDescent="0.2">
      <c r="A443">
        <v>0</v>
      </c>
      <c r="B443">
        <v>0</v>
      </c>
      <c r="C443" t="s">
        <v>18</v>
      </c>
      <c r="D443" t="s">
        <v>18</v>
      </c>
      <c r="E443" t="b">
        <v>0</v>
      </c>
      <c r="F443" t="s">
        <v>7</v>
      </c>
    </row>
    <row r="444" spans="1:6" x14ac:dyDescent="0.2">
      <c r="A444">
        <v>0</v>
      </c>
      <c r="B444">
        <v>0</v>
      </c>
      <c r="C444" t="s">
        <v>6</v>
      </c>
      <c r="D444" t="s">
        <v>6</v>
      </c>
      <c r="E444" t="b">
        <v>0</v>
      </c>
      <c r="F444" t="s">
        <v>7</v>
      </c>
    </row>
    <row r="445" spans="1:6" x14ac:dyDescent="0.2">
      <c r="A445">
        <v>0</v>
      </c>
      <c r="B445">
        <v>0</v>
      </c>
      <c r="C445" t="s">
        <v>18</v>
      </c>
      <c r="D445" t="s">
        <v>18</v>
      </c>
      <c r="E445" t="b">
        <v>0</v>
      </c>
      <c r="F445" t="s">
        <v>7</v>
      </c>
    </row>
    <row r="446" spans="1:6" x14ac:dyDescent="0.2">
      <c r="A446">
        <v>0</v>
      </c>
      <c r="B446">
        <v>0</v>
      </c>
      <c r="C446" t="s">
        <v>6</v>
      </c>
      <c r="D446" t="s">
        <v>6</v>
      </c>
      <c r="E446" t="b">
        <v>0</v>
      </c>
      <c r="F446" t="s">
        <v>7</v>
      </c>
    </row>
    <row r="447" spans="1:6" x14ac:dyDescent="0.2">
      <c r="A447">
        <v>0</v>
      </c>
      <c r="B447">
        <v>0</v>
      </c>
      <c r="C447" t="s">
        <v>18</v>
      </c>
      <c r="D447" t="s">
        <v>18</v>
      </c>
      <c r="E447" t="b">
        <v>0</v>
      </c>
      <c r="F447" t="s">
        <v>7</v>
      </c>
    </row>
    <row r="448" spans="1:6" x14ac:dyDescent="0.2">
      <c r="A448">
        <v>0</v>
      </c>
      <c r="B448">
        <v>0</v>
      </c>
      <c r="C448" t="s">
        <v>6</v>
      </c>
      <c r="D448" t="s">
        <v>6</v>
      </c>
      <c r="E448" t="b">
        <v>0</v>
      </c>
      <c r="F448" t="s">
        <v>7</v>
      </c>
    </row>
    <row r="449" spans="1:6" x14ac:dyDescent="0.2">
      <c r="A449">
        <v>0</v>
      </c>
      <c r="B449">
        <v>0</v>
      </c>
      <c r="C449" t="s">
        <v>18</v>
      </c>
      <c r="D449" t="s">
        <v>18</v>
      </c>
      <c r="E449" t="b">
        <v>0</v>
      </c>
      <c r="F449" t="s">
        <v>7</v>
      </c>
    </row>
    <row r="450" spans="1:6" x14ac:dyDescent="0.2">
      <c r="A450">
        <v>0</v>
      </c>
      <c r="B450">
        <v>0</v>
      </c>
      <c r="C450" t="s">
        <v>6</v>
      </c>
      <c r="D450" t="s">
        <v>6</v>
      </c>
      <c r="E450" t="b">
        <v>0</v>
      </c>
      <c r="F450" t="s">
        <v>7</v>
      </c>
    </row>
    <row r="451" spans="1:6" x14ac:dyDescent="0.2">
      <c r="A451">
        <v>0</v>
      </c>
      <c r="B451">
        <v>0</v>
      </c>
      <c r="C451" t="s">
        <v>18</v>
      </c>
      <c r="D451" t="s">
        <v>18</v>
      </c>
      <c r="E451" t="b">
        <v>0</v>
      </c>
      <c r="F451" t="s">
        <v>7</v>
      </c>
    </row>
    <row r="452" spans="1:6" x14ac:dyDescent="0.2">
      <c r="A452">
        <v>0</v>
      </c>
      <c r="B452">
        <v>0</v>
      </c>
      <c r="C452" t="s">
        <v>6</v>
      </c>
      <c r="D452" t="s">
        <v>6</v>
      </c>
      <c r="E452" t="b">
        <v>0</v>
      </c>
      <c r="F452" t="s">
        <v>7</v>
      </c>
    </row>
    <row r="453" spans="1:6" x14ac:dyDescent="0.2">
      <c r="A453">
        <v>0</v>
      </c>
      <c r="B453">
        <v>0</v>
      </c>
      <c r="C453" t="s">
        <v>18</v>
      </c>
      <c r="D453" t="s">
        <v>18</v>
      </c>
      <c r="E453" t="b">
        <v>0</v>
      </c>
      <c r="F453" t="s">
        <v>7</v>
      </c>
    </row>
    <row r="454" spans="1:6" x14ac:dyDescent="0.2">
      <c r="A454">
        <v>0</v>
      </c>
      <c r="B454">
        <v>0</v>
      </c>
      <c r="C454" t="s">
        <v>18</v>
      </c>
      <c r="D454" t="s">
        <v>18</v>
      </c>
      <c r="E454" t="b">
        <v>0</v>
      </c>
      <c r="F454" t="s">
        <v>7</v>
      </c>
    </row>
    <row r="455" spans="1:6" x14ac:dyDescent="0.2">
      <c r="A455">
        <v>0</v>
      </c>
      <c r="B455">
        <v>0</v>
      </c>
      <c r="C455" t="s">
        <v>18</v>
      </c>
      <c r="D455" t="s">
        <v>18</v>
      </c>
      <c r="E455" t="b">
        <v>0</v>
      </c>
      <c r="F455" t="s">
        <v>7</v>
      </c>
    </row>
    <row r="456" spans="1:6" x14ac:dyDescent="0.2">
      <c r="A456">
        <v>0</v>
      </c>
      <c r="B456">
        <v>0</v>
      </c>
      <c r="C456" t="s">
        <v>18</v>
      </c>
      <c r="D456" t="s">
        <v>18</v>
      </c>
      <c r="E456" t="b">
        <v>0</v>
      </c>
      <c r="F456" t="s">
        <v>7</v>
      </c>
    </row>
    <row r="457" spans="1:6" x14ac:dyDescent="0.2">
      <c r="A457">
        <v>0</v>
      </c>
      <c r="B457">
        <v>0</v>
      </c>
      <c r="C457" t="s">
        <v>6</v>
      </c>
      <c r="D457" t="s">
        <v>6</v>
      </c>
      <c r="E457" t="b">
        <v>0</v>
      </c>
      <c r="F457" t="s">
        <v>7</v>
      </c>
    </row>
    <row r="458" spans="1:6" x14ac:dyDescent="0.2">
      <c r="A458">
        <v>0</v>
      </c>
      <c r="B458">
        <v>0</v>
      </c>
      <c r="C458" t="s">
        <v>18</v>
      </c>
      <c r="D458" t="s">
        <v>18</v>
      </c>
      <c r="E458" t="b">
        <v>0</v>
      </c>
      <c r="F458" t="s">
        <v>7</v>
      </c>
    </row>
    <row r="459" spans="1:6" x14ac:dyDescent="0.2">
      <c r="A459">
        <v>0</v>
      </c>
      <c r="B459">
        <v>0</v>
      </c>
      <c r="C459" t="s">
        <v>6</v>
      </c>
      <c r="D459" t="s">
        <v>6</v>
      </c>
      <c r="E459" t="b">
        <v>0</v>
      </c>
      <c r="F459" t="s">
        <v>7</v>
      </c>
    </row>
    <row r="460" spans="1:6" x14ac:dyDescent="0.2">
      <c r="A460">
        <v>0</v>
      </c>
      <c r="B460">
        <v>0</v>
      </c>
      <c r="C460" t="s">
        <v>18</v>
      </c>
      <c r="D460" t="s">
        <v>18</v>
      </c>
      <c r="E460" t="b">
        <v>0</v>
      </c>
      <c r="F460" t="s">
        <v>7</v>
      </c>
    </row>
    <row r="461" spans="1:6" x14ac:dyDescent="0.2">
      <c r="A461">
        <v>0</v>
      </c>
      <c r="B461">
        <v>0</v>
      </c>
      <c r="C461" t="s">
        <v>6</v>
      </c>
      <c r="D461" t="s">
        <v>6</v>
      </c>
      <c r="E461" t="b">
        <v>0</v>
      </c>
      <c r="F461" t="s">
        <v>7</v>
      </c>
    </row>
    <row r="462" spans="1:6" x14ac:dyDescent="0.2">
      <c r="A462">
        <v>0</v>
      </c>
      <c r="B462">
        <v>0</v>
      </c>
      <c r="C462" t="s">
        <v>18</v>
      </c>
      <c r="D462" t="s">
        <v>18</v>
      </c>
      <c r="E462" t="b">
        <v>0</v>
      </c>
      <c r="F462" t="s">
        <v>7</v>
      </c>
    </row>
    <row r="463" spans="1:6" x14ac:dyDescent="0.2">
      <c r="A463">
        <v>0</v>
      </c>
      <c r="B463">
        <v>0</v>
      </c>
      <c r="C463" t="s">
        <v>6</v>
      </c>
      <c r="D463" t="s">
        <v>6</v>
      </c>
      <c r="E463" t="b">
        <v>0</v>
      </c>
      <c r="F463" t="s">
        <v>7</v>
      </c>
    </row>
    <row r="464" spans="1:6" x14ac:dyDescent="0.2">
      <c r="A464">
        <v>0</v>
      </c>
      <c r="B464">
        <v>0</v>
      </c>
      <c r="C464" t="s">
        <v>18</v>
      </c>
      <c r="D464" t="s">
        <v>18</v>
      </c>
      <c r="E464" t="b">
        <v>0</v>
      </c>
      <c r="F464" t="s">
        <v>7</v>
      </c>
    </row>
    <row r="465" spans="1:6" x14ac:dyDescent="0.2">
      <c r="A465">
        <v>0</v>
      </c>
      <c r="B465">
        <v>0</v>
      </c>
      <c r="C465" t="s">
        <v>18</v>
      </c>
      <c r="D465" t="s">
        <v>18</v>
      </c>
      <c r="E465" t="b">
        <v>0</v>
      </c>
      <c r="F465" t="s">
        <v>7</v>
      </c>
    </row>
    <row r="466" spans="1:6" x14ac:dyDescent="0.2">
      <c r="A466">
        <v>0</v>
      </c>
      <c r="B466">
        <v>0</v>
      </c>
      <c r="C466" t="s">
        <v>18</v>
      </c>
      <c r="D466" t="s">
        <v>18</v>
      </c>
      <c r="E466" t="b">
        <v>0</v>
      </c>
      <c r="F466" t="s">
        <v>7</v>
      </c>
    </row>
    <row r="467" spans="1:6" x14ac:dyDescent="0.2">
      <c r="A467">
        <v>0</v>
      </c>
      <c r="B467">
        <v>0</v>
      </c>
      <c r="C467" t="s">
        <v>18</v>
      </c>
      <c r="D467" t="s">
        <v>18</v>
      </c>
      <c r="E467" t="b">
        <v>0</v>
      </c>
      <c r="F467" t="s">
        <v>7</v>
      </c>
    </row>
    <row r="468" spans="1:6" x14ac:dyDescent="0.2">
      <c r="A468">
        <v>0</v>
      </c>
      <c r="B468">
        <v>0</v>
      </c>
      <c r="C468" t="s">
        <v>18</v>
      </c>
      <c r="D468" t="s">
        <v>18</v>
      </c>
      <c r="E468" t="b">
        <v>0</v>
      </c>
      <c r="F468" t="s">
        <v>7</v>
      </c>
    </row>
    <row r="469" spans="1:6" x14ac:dyDescent="0.2">
      <c r="A469">
        <v>0</v>
      </c>
      <c r="B469">
        <v>0</v>
      </c>
      <c r="C469" t="s">
        <v>18</v>
      </c>
      <c r="D469" t="s">
        <v>18</v>
      </c>
      <c r="E469" t="b">
        <v>0</v>
      </c>
      <c r="F469" t="s">
        <v>7</v>
      </c>
    </row>
    <row r="470" spans="1:6" x14ac:dyDescent="0.2">
      <c r="A470">
        <v>0</v>
      </c>
      <c r="B470">
        <v>0</v>
      </c>
      <c r="C470" t="s">
        <v>18</v>
      </c>
      <c r="D470" t="s">
        <v>18</v>
      </c>
      <c r="E470" t="b">
        <v>0</v>
      </c>
      <c r="F470" t="s">
        <v>7</v>
      </c>
    </row>
    <row r="471" spans="1:6" x14ac:dyDescent="0.2">
      <c r="A471">
        <v>0</v>
      </c>
      <c r="B471">
        <v>0</v>
      </c>
      <c r="C471" t="s">
        <v>18</v>
      </c>
      <c r="D471" t="s">
        <v>18</v>
      </c>
      <c r="E471" t="b">
        <v>0</v>
      </c>
      <c r="F471" t="s">
        <v>7</v>
      </c>
    </row>
    <row r="472" spans="1:6" x14ac:dyDescent="0.2">
      <c r="A472">
        <v>0</v>
      </c>
      <c r="B472">
        <v>0</v>
      </c>
      <c r="C472" t="s">
        <v>18</v>
      </c>
      <c r="D472" t="s">
        <v>18</v>
      </c>
      <c r="E472" t="b">
        <v>0</v>
      </c>
      <c r="F472" t="s">
        <v>7</v>
      </c>
    </row>
    <row r="473" spans="1:6" x14ac:dyDescent="0.2">
      <c r="A473">
        <v>0</v>
      </c>
      <c r="B473">
        <v>0</v>
      </c>
      <c r="C473" t="s">
        <v>18</v>
      </c>
      <c r="D473" t="s">
        <v>18</v>
      </c>
      <c r="E473" t="b">
        <v>0</v>
      </c>
      <c r="F473" t="s">
        <v>7</v>
      </c>
    </row>
    <row r="474" spans="1:6" x14ac:dyDescent="0.2">
      <c r="A474">
        <v>0</v>
      </c>
      <c r="B474">
        <v>0</v>
      </c>
      <c r="C474" t="s">
        <v>18</v>
      </c>
      <c r="D474" t="s">
        <v>18</v>
      </c>
      <c r="E474" t="b">
        <v>0</v>
      </c>
      <c r="F474" t="s">
        <v>7</v>
      </c>
    </row>
    <row r="475" spans="1:6" x14ac:dyDescent="0.2">
      <c r="A475">
        <v>0</v>
      </c>
      <c r="B475">
        <v>0</v>
      </c>
      <c r="C475" t="s">
        <v>18</v>
      </c>
      <c r="D475" t="s">
        <v>18</v>
      </c>
      <c r="E475" t="b">
        <v>0</v>
      </c>
      <c r="F475" t="s">
        <v>7</v>
      </c>
    </row>
    <row r="476" spans="1:6" x14ac:dyDescent="0.2">
      <c r="A476">
        <v>0</v>
      </c>
      <c r="B476">
        <v>0</v>
      </c>
      <c r="C476" t="s">
        <v>18</v>
      </c>
      <c r="D476" t="s">
        <v>18</v>
      </c>
      <c r="E476" t="b">
        <v>0</v>
      </c>
      <c r="F476" t="s">
        <v>7</v>
      </c>
    </row>
    <row r="477" spans="1:6" x14ac:dyDescent="0.2">
      <c r="A477">
        <v>0</v>
      </c>
      <c r="B477">
        <v>0</v>
      </c>
      <c r="C477" t="s">
        <v>18</v>
      </c>
      <c r="D477" t="s">
        <v>18</v>
      </c>
      <c r="E477" t="b">
        <v>0</v>
      </c>
      <c r="F477" t="s">
        <v>7</v>
      </c>
    </row>
    <row r="478" spans="1:6" x14ac:dyDescent="0.2">
      <c r="A478">
        <v>0</v>
      </c>
      <c r="B478">
        <v>0</v>
      </c>
      <c r="C478" t="s">
        <v>18</v>
      </c>
      <c r="D478" t="s">
        <v>18</v>
      </c>
      <c r="E478" t="b">
        <v>0</v>
      </c>
      <c r="F478" t="s">
        <v>7</v>
      </c>
    </row>
    <row r="479" spans="1:6" x14ac:dyDescent="0.2">
      <c r="A479">
        <v>0</v>
      </c>
      <c r="B479">
        <v>0</v>
      </c>
      <c r="C479" t="s">
        <v>18</v>
      </c>
      <c r="D479" t="s">
        <v>18</v>
      </c>
      <c r="E479" t="b">
        <v>0</v>
      </c>
      <c r="F479" t="s">
        <v>7</v>
      </c>
    </row>
    <row r="480" spans="1:6" x14ac:dyDescent="0.2">
      <c r="A480">
        <v>0</v>
      </c>
      <c r="B480">
        <v>0</v>
      </c>
      <c r="C480" t="s">
        <v>18</v>
      </c>
      <c r="D480" t="s">
        <v>18</v>
      </c>
      <c r="E480" t="b">
        <v>0</v>
      </c>
      <c r="F480" t="s">
        <v>7</v>
      </c>
    </row>
    <row r="481" spans="1:6" x14ac:dyDescent="0.2">
      <c r="A481">
        <v>2</v>
      </c>
      <c r="B481">
        <v>1</v>
      </c>
      <c r="C481" t="s">
        <v>8</v>
      </c>
      <c r="D481" t="s">
        <v>9</v>
      </c>
      <c r="E481" t="b">
        <v>0</v>
      </c>
      <c r="F481" t="s">
        <v>7</v>
      </c>
    </row>
    <row r="482" spans="1:6" x14ac:dyDescent="0.2">
      <c r="A482">
        <v>2</v>
      </c>
      <c r="B482">
        <v>1</v>
      </c>
      <c r="C482" t="s">
        <v>24</v>
      </c>
      <c r="D482" t="s">
        <v>9</v>
      </c>
      <c r="E482" t="b">
        <v>0</v>
      </c>
      <c r="F482" t="s">
        <v>7</v>
      </c>
    </row>
    <row r="483" spans="1:6" x14ac:dyDescent="0.2">
      <c r="A483">
        <v>2</v>
      </c>
      <c r="B483">
        <v>1</v>
      </c>
      <c r="C483" t="s">
        <v>25</v>
      </c>
      <c r="D483" t="s">
        <v>9</v>
      </c>
      <c r="E483" t="b">
        <v>0</v>
      </c>
      <c r="F483" t="s">
        <v>7</v>
      </c>
    </row>
    <row r="484" spans="1:6" x14ac:dyDescent="0.2">
      <c r="A484">
        <v>2</v>
      </c>
      <c r="B484">
        <v>1</v>
      </c>
      <c r="C484" t="s">
        <v>26</v>
      </c>
      <c r="D484" t="s">
        <v>9</v>
      </c>
      <c r="E484" t="b">
        <v>0</v>
      </c>
      <c r="F484" t="s">
        <v>7</v>
      </c>
    </row>
    <row r="485" spans="1:6" x14ac:dyDescent="0.2">
      <c r="A485">
        <v>2</v>
      </c>
      <c r="B485">
        <v>1</v>
      </c>
      <c r="C485" t="s">
        <v>8</v>
      </c>
      <c r="D485" t="s">
        <v>9</v>
      </c>
      <c r="E485" t="b">
        <v>0</v>
      </c>
      <c r="F485" t="s">
        <v>7</v>
      </c>
    </row>
    <row r="486" spans="1:6" x14ac:dyDescent="0.2">
      <c r="A486">
        <v>2</v>
      </c>
      <c r="B486">
        <v>1</v>
      </c>
      <c r="C486" t="s">
        <v>24</v>
      </c>
      <c r="D486" t="s">
        <v>9</v>
      </c>
      <c r="E486" t="b">
        <v>0</v>
      </c>
      <c r="F486" t="s">
        <v>7</v>
      </c>
    </row>
    <row r="487" spans="1:6" x14ac:dyDescent="0.2">
      <c r="A487">
        <v>2</v>
      </c>
      <c r="B487">
        <v>1</v>
      </c>
      <c r="C487" t="s">
        <v>25</v>
      </c>
      <c r="D487" t="s">
        <v>9</v>
      </c>
      <c r="E487" t="b">
        <v>0</v>
      </c>
      <c r="F487" t="s">
        <v>7</v>
      </c>
    </row>
    <row r="488" spans="1:6" x14ac:dyDescent="0.2">
      <c r="A488">
        <v>2</v>
      </c>
      <c r="B488">
        <v>1</v>
      </c>
      <c r="C488" t="s">
        <v>26</v>
      </c>
      <c r="D488" t="s">
        <v>9</v>
      </c>
      <c r="E488" t="b">
        <v>0</v>
      </c>
      <c r="F488" t="s">
        <v>7</v>
      </c>
    </row>
    <row r="489" spans="1:6" x14ac:dyDescent="0.2">
      <c r="A489">
        <v>2</v>
      </c>
      <c r="B489">
        <v>1</v>
      </c>
      <c r="C489" t="s">
        <v>8</v>
      </c>
      <c r="D489" t="s">
        <v>9</v>
      </c>
      <c r="E489" t="b">
        <v>0</v>
      </c>
      <c r="F489" t="s">
        <v>7</v>
      </c>
    </row>
    <row r="490" spans="1:6" x14ac:dyDescent="0.2">
      <c r="A490">
        <v>2</v>
      </c>
      <c r="B490">
        <v>1</v>
      </c>
      <c r="C490" t="s">
        <v>24</v>
      </c>
      <c r="D490" t="s">
        <v>9</v>
      </c>
      <c r="E490" t="b">
        <v>0</v>
      </c>
      <c r="F490" t="s">
        <v>7</v>
      </c>
    </row>
    <row r="491" spans="1:6" x14ac:dyDescent="0.2">
      <c r="A491">
        <v>2</v>
      </c>
      <c r="B491">
        <v>1</v>
      </c>
      <c r="C491" t="s">
        <v>25</v>
      </c>
      <c r="D491" t="s">
        <v>9</v>
      </c>
      <c r="E491" t="b">
        <v>0</v>
      </c>
      <c r="F491" t="s">
        <v>7</v>
      </c>
    </row>
    <row r="492" spans="1:6" x14ac:dyDescent="0.2">
      <c r="A492">
        <v>2</v>
      </c>
      <c r="B492">
        <v>1</v>
      </c>
      <c r="C492" t="s">
        <v>26</v>
      </c>
      <c r="D492" t="s">
        <v>9</v>
      </c>
      <c r="E492" t="b">
        <v>0</v>
      </c>
      <c r="F492" t="s">
        <v>7</v>
      </c>
    </row>
    <row r="493" spans="1:6" x14ac:dyDescent="0.2">
      <c r="A493">
        <v>2</v>
      </c>
      <c r="B493">
        <v>1</v>
      </c>
      <c r="C493" t="s">
        <v>8</v>
      </c>
      <c r="D493" t="s">
        <v>9</v>
      </c>
      <c r="E493" t="b">
        <v>0</v>
      </c>
      <c r="F493" t="s">
        <v>7</v>
      </c>
    </row>
    <row r="494" spans="1:6" x14ac:dyDescent="0.2">
      <c r="A494">
        <v>2</v>
      </c>
      <c r="B494">
        <v>1</v>
      </c>
      <c r="C494" t="s">
        <v>24</v>
      </c>
      <c r="D494" t="s">
        <v>9</v>
      </c>
      <c r="E494" t="b">
        <v>0</v>
      </c>
      <c r="F494" t="s">
        <v>7</v>
      </c>
    </row>
    <row r="495" spans="1:6" x14ac:dyDescent="0.2">
      <c r="A495">
        <v>2</v>
      </c>
      <c r="B495">
        <v>1</v>
      </c>
      <c r="C495" t="s">
        <v>25</v>
      </c>
      <c r="D495" t="s">
        <v>9</v>
      </c>
      <c r="E495" t="b">
        <v>0</v>
      </c>
      <c r="F495" t="s">
        <v>7</v>
      </c>
    </row>
    <row r="496" spans="1:6" x14ac:dyDescent="0.2">
      <c r="A496">
        <v>2</v>
      </c>
      <c r="B496">
        <v>1</v>
      </c>
      <c r="C496" t="s">
        <v>26</v>
      </c>
      <c r="D496" t="s">
        <v>9</v>
      </c>
      <c r="E496" t="b">
        <v>0</v>
      </c>
      <c r="F496" t="s">
        <v>7</v>
      </c>
    </row>
    <row r="497" spans="1:6" x14ac:dyDescent="0.2">
      <c r="A497">
        <v>2</v>
      </c>
      <c r="B497">
        <v>1</v>
      </c>
      <c r="C497" t="s">
        <v>8</v>
      </c>
      <c r="D497" t="s">
        <v>9</v>
      </c>
      <c r="E497" t="b">
        <v>0</v>
      </c>
      <c r="F497" t="s">
        <v>7</v>
      </c>
    </row>
    <row r="498" spans="1:6" x14ac:dyDescent="0.2">
      <c r="A498">
        <v>2</v>
      </c>
      <c r="B498">
        <v>1</v>
      </c>
      <c r="C498" t="s">
        <v>24</v>
      </c>
      <c r="D498" t="s">
        <v>9</v>
      </c>
      <c r="E498" t="b">
        <v>0</v>
      </c>
      <c r="F498" t="s">
        <v>7</v>
      </c>
    </row>
    <row r="499" spans="1:6" x14ac:dyDescent="0.2">
      <c r="A499">
        <v>2</v>
      </c>
      <c r="B499">
        <v>1</v>
      </c>
      <c r="C499" t="s">
        <v>25</v>
      </c>
      <c r="D499" t="s">
        <v>9</v>
      </c>
      <c r="E499" t="b">
        <v>0</v>
      </c>
      <c r="F499" t="s">
        <v>7</v>
      </c>
    </row>
    <row r="500" spans="1:6" x14ac:dyDescent="0.2">
      <c r="A500">
        <v>2</v>
      </c>
      <c r="B500">
        <v>1</v>
      </c>
      <c r="C500" t="s">
        <v>26</v>
      </c>
      <c r="D500" t="s">
        <v>9</v>
      </c>
      <c r="E500" t="b">
        <v>0</v>
      </c>
      <c r="F500" t="s">
        <v>7</v>
      </c>
    </row>
    <row r="501" spans="1:6" x14ac:dyDescent="0.2">
      <c r="A501">
        <v>2</v>
      </c>
      <c r="B501">
        <v>1</v>
      </c>
      <c r="C501" t="s">
        <v>8</v>
      </c>
      <c r="D501" t="s">
        <v>9</v>
      </c>
      <c r="E501" t="b">
        <v>0</v>
      </c>
      <c r="F501" t="s">
        <v>7</v>
      </c>
    </row>
    <row r="502" spans="1:6" x14ac:dyDescent="0.2">
      <c r="A502">
        <v>2</v>
      </c>
      <c r="B502">
        <v>1</v>
      </c>
      <c r="C502" t="s">
        <v>24</v>
      </c>
      <c r="D502" t="s">
        <v>9</v>
      </c>
      <c r="E502" t="b">
        <v>0</v>
      </c>
      <c r="F502" t="s">
        <v>7</v>
      </c>
    </row>
    <row r="503" spans="1:6" x14ac:dyDescent="0.2">
      <c r="A503">
        <v>2</v>
      </c>
      <c r="B503">
        <v>1</v>
      </c>
      <c r="C503" t="s">
        <v>25</v>
      </c>
      <c r="D503" t="s">
        <v>9</v>
      </c>
      <c r="E503" t="b">
        <v>0</v>
      </c>
      <c r="F503" t="s">
        <v>7</v>
      </c>
    </row>
    <row r="504" spans="1:6" x14ac:dyDescent="0.2">
      <c r="A504">
        <v>2</v>
      </c>
      <c r="B504">
        <v>1</v>
      </c>
      <c r="C504" t="s">
        <v>26</v>
      </c>
      <c r="D504" t="s">
        <v>9</v>
      </c>
      <c r="E504" t="b">
        <v>0</v>
      </c>
      <c r="F504" t="s">
        <v>7</v>
      </c>
    </row>
    <row r="505" spans="1:6" x14ac:dyDescent="0.2">
      <c r="A505">
        <v>2</v>
      </c>
      <c r="B505">
        <v>1</v>
      </c>
      <c r="C505" t="s">
        <v>8</v>
      </c>
      <c r="D505" t="s">
        <v>9</v>
      </c>
      <c r="E505" t="b">
        <v>0</v>
      </c>
      <c r="F505" t="s">
        <v>7</v>
      </c>
    </row>
    <row r="506" spans="1:6" x14ac:dyDescent="0.2">
      <c r="A506">
        <v>100</v>
      </c>
      <c r="B506">
        <v>10</v>
      </c>
      <c r="C506" t="s">
        <v>9</v>
      </c>
      <c r="D506" t="s">
        <v>12</v>
      </c>
      <c r="E506" t="b">
        <v>0</v>
      </c>
      <c r="F506" t="s">
        <v>7</v>
      </c>
    </row>
    <row r="507" spans="1:6" x14ac:dyDescent="0.2">
      <c r="A507">
        <v>2</v>
      </c>
      <c r="B507">
        <v>1</v>
      </c>
      <c r="C507" t="s">
        <v>8</v>
      </c>
      <c r="D507" t="s">
        <v>9</v>
      </c>
      <c r="E507" t="b">
        <v>0</v>
      </c>
      <c r="F507" t="s">
        <v>7</v>
      </c>
    </row>
    <row r="508" spans="1:6" x14ac:dyDescent="0.2">
      <c r="A508">
        <v>2</v>
      </c>
      <c r="B508">
        <v>1</v>
      </c>
      <c r="C508" t="s">
        <v>24</v>
      </c>
      <c r="D508" t="s">
        <v>9</v>
      </c>
      <c r="E508" t="b">
        <v>0</v>
      </c>
      <c r="F508" t="s">
        <v>7</v>
      </c>
    </row>
    <row r="509" spans="1:6" x14ac:dyDescent="0.2">
      <c r="A509">
        <v>2</v>
      </c>
      <c r="B509">
        <v>1</v>
      </c>
      <c r="C509" t="s">
        <v>25</v>
      </c>
      <c r="D509" t="s">
        <v>9</v>
      </c>
      <c r="E509" t="b">
        <v>0</v>
      </c>
      <c r="F509" t="s">
        <v>7</v>
      </c>
    </row>
    <row r="510" spans="1:6" x14ac:dyDescent="0.2">
      <c r="A510">
        <v>2</v>
      </c>
      <c r="B510">
        <v>1</v>
      </c>
      <c r="C510" t="s">
        <v>26</v>
      </c>
      <c r="D510" t="s">
        <v>9</v>
      </c>
      <c r="E510" t="b">
        <v>0</v>
      </c>
      <c r="F510" t="s">
        <v>7</v>
      </c>
    </row>
    <row r="511" spans="1:6" x14ac:dyDescent="0.2">
      <c r="A511">
        <v>2</v>
      </c>
      <c r="B511">
        <v>1</v>
      </c>
      <c r="C511" t="s">
        <v>8</v>
      </c>
      <c r="D511" t="s">
        <v>9</v>
      </c>
      <c r="E511" t="b">
        <v>0</v>
      </c>
      <c r="F511" t="s">
        <v>7</v>
      </c>
    </row>
    <row r="512" spans="1:6" x14ac:dyDescent="0.2">
      <c r="A512">
        <v>100</v>
      </c>
      <c r="B512">
        <v>10</v>
      </c>
      <c r="C512" t="s">
        <v>9</v>
      </c>
      <c r="D512" t="s">
        <v>12</v>
      </c>
      <c r="E512" t="b">
        <v>0</v>
      </c>
      <c r="F512" t="s">
        <v>7</v>
      </c>
    </row>
    <row r="513" spans="1:6" x14ac:dyDescent="0.2">
      <c r="A513">
        <v>0</v>
      </c>
      <c r="B513">
        <v>0</v>
      </c>
      <c r="C513" t="s">
        <v>19</v>
      </c>
      <c r="D513" t="s">
        <v>19</v>
      </c>
      <c r="E513" t="b">
        <v>0</v>
      </c>
      <c r="F513" t="s">
        <v>7</v>
      </c>
    </row>
    <row r="514" spans="1:6" x14ac:dyDescent="0.2">
      <c r="A514">
        <v>0</v>
      </c>
      <c r="B514">
        <v>0</v>
      </c>
      <c r="C514" t="s">
        <v>19</v>
      </c>
      <c r="D514" t="s">
        <v>19</v>
      </c>
      <c r="E514" t="b">
        <v>0</v>
      </c>
      <c r="F514" t="s">
        <v>7</v>
      </c>
    </row>
    <row r="515" spans="1:6" x14ac:dyDescent="0.2">
      <c r="A515">
        <v>2</v>
      </c>
      <c r="B515">
        <v>1</v>
      </c>
      <c r="C515" t="s">
        <v>8</v>
      </c>
      <c r="D515" t="s">
        <v>9</v>
      </c>
      <c r="E515" t="b">
        <v>0</v>
      </c>
      <c r="F515" t="s">
        <v>7</v>
      </c>
    </row>
    <row r="516" spans="1:6" x14ac:dyDescent="0.2">
      <c r="A516">
        <v>2</v>
      </c>
      <c r="B516">
        <v>1</v>
      </c>
      <c r="C516" t="s">
        <v>24</v>
      </c>
      <c r="D516" t="s">
        <v>9</v>
      </c>
      <c r="E516" t="b">
        <v>0</v>
      </c>
      <c r="F516" t="s">
        <v>7</v>
      </c>
    </row>
    <row r="517" spans="1:6" x14ac:dyDescent="0.2">
      <c r="A517">
        <v>2</v>
      </c>
      <c r="B517">
        <v>1</v>
      </c>
      <c r="C517" t="s">
        <v>25</v>
      </c>
      <c r="D517" t="s">
        <v>9</v>
      </c>
      <c r="E517" t="b">
        <v>0</v>
      </c>
      <c r="F517" t="s">
        <v>7</v>
      </c>
    </row>
    <row r="518" spans="1:6" x14ac:dyDescent="0.2">
      <c r="A518">
        <v>2</v>
      </c>
      <c r="B518">
        <v>1</v>
      </c>
      <c r="C518" t="s">
        <v>26</v>
      </c>
      <c r="D518" t="s">
        <v>9</v>
      </c>
      <c r="E518" t="b">
        <v>0</v>
      </c>
      <c r="F518" t="s">
        <v>7</v>
      </c>
    </row>
    <row r="519" spans="1:6" x14ac:dyDescent="0.2">
      <c r="A519">
        <v>2</v>
      </c>
      <c r="B519">
        <v>1</v>
      </c>
      <c r="C519" t="s">
        <v>8</v>
      </c>
      <c r="D519" t="s">
        <v>9</v>
      </c>
      <c r="E519" t="b">
        <v>0</v>
      </c>
      <c r="F519" t="s">
        <v>7</v>
      </c>
    </row>
    <row r="520" spans="1:6" x14ac:dyDescent="0.2">
      <c r="A520">
        <v>2</v>
      </c>
      <c r="B520">
        <v>1</v>
      </c>
      <c r="C520" t="s">
        <v>24</v>
      </c>
      <c r="D520" t="s">
        <v>9</v>
      </c>
      <c r="E520" t="b">
        <v>0</v>
      </c>
      <c r="F520" t="s">
        <v>7</v>
      </c>
    </row>
    <row r="521" spans="1:6" x14ac:dyDescent="0.2">
      <c r="A521">
        <v>2</v>
      </c>
      <c r="B521">
        <v>1</v>
      </c>
      <c r="C521" t="s">
        <v>25</v>
      </c>
      <c r="D521" t="s">
        <v>9</v>
      </c>
      <c r="E521" t="b">
        <v>0</v>
      </c>
      <c r="F521" t="s">
        <v>7</v>
      </c>
    </row>
    <row r="522" spans="1:6" x14ac:dyDescent="0.2">
      <c r="A522">
        <v>2</v>
      </c>
      <c r="B522">
        <v>1</v>
      </c>
      <c r="C522" t="s">
        <v>26</v>
      </c>
      <c r="D522" t="s">
        <v>9</v>
      </c>
      <c r="E522" t="b">
        <v>0</v>
      </c>
      <c r="F522" t="s">
        <v>7</v>
      </c>
    </row>
    <row r="523" spans="1:6" x14ac:dyDescent="0.2">
      <c r="A523">
        <v>2</v>
      </c>
      <c r="B523">
        <v>1</v>
      </c>
      <c r="C523" t="s">
        <v>8</v>
      </c>
      <c r="D523" t="s">
        <v>9</v>
      </c>
      <c r="E523" t="b">
        <v>0</v>
      </c>
      <c r="F523" t="s">
        <v>7</v>
      </c>
    </row>
    <row r="524" spans="1:6" x14ac:dyDescent="0.2">
      <c r="A524">
        <v>2</v>
      </c>
      <c r="B524">
        <v>1</v>
      </c>
      <c r="C524" t="s">
        <v>24</v>
      </c>
      <c r="D524" t="s">
        <v>9</v>
      </c>
      <c r="E524" t="b">
        <v>0</v>
      </c>
      <c r="F524" t="s">
        <v>7</v>
      </c>
    </row>
    <row r="525" spans="1:6" x14ac:dyDescent="0.2">
      <c r="A525">
        <v>2</v>
      </c>
      <c r="B525">
        <v>1</v>
      </c>
      <c r="C525" t="s">
        <v>25</v>
      </c>
      <c r="D525" t="s">
        <v>9</v>
      </c>
      <c r="E525" t="b">
        <v>0</v>
      </c>
      <c r="F525" t="s">
        <v>7</v>
      </c>
    </row>
    <row r="526" spans="1:6" x14ac:dyDescent="0.2">
      <c r="A526">
        <v>2</v>
      </c>
      <c r="B526">
        <v>1</v>
      </c>
      <c r="C526" t="s">
        <v>26</v>
      </c>
      <c r="D526" t="s">
        <v>9</v>
      </c>
      <c r="E526" t="b">
        <v>0</v>
      </c>
      <c r="F526" t="s">
        <v>7</v>
      </c>
    </row>
    <row r="527" spans="1:6" x14ac:dyDescent="0.2">
      <c r="A527">
        <v>2</v>
      </c>
      <c r="B527">
        <v>1</v>
      </c>
      <c r="C527" t="s">
        <v>8</v>
      </c>
      <c r="D527" t="s">
        <v>9</v>
      </c>
      <c r="E527" t="b">
        <v>0</v>
      </c>
      <c r="F527" t="s">
        <v>7</v>
      </c>
    </row>
    <row r="528" spans="1:6" x14ac:dyDescent="0.2">
      <c r="A528">
        <v>2</v>
      </c>
      <c r="B528">
        <v>1</v>
      </c>
      <c r="C528" t="s">
        <v>24</v>
      </c>
      <c r="D528" t="s">
        <v>9</v>
      </c>
      <c r="E528" t="b">
        <v>0</v>
      </c>
      <c r="F528" t="s">
        <v>7</v>
      </c>
    </row>
    <row r="529" spans="1:6" x14ac:dyDescent="0.2">
      <c r="A529">
        <v>2</v>
      </c>
      <c r="B529">
        <v>1</v>
      </c>
      <c r="C529" t="s">
        <v>25</v>
      </c>
      <c r="D529" t="s">
        <v>9</v>
      </c>
      <c r="E529" t="b">
        <v>0</v>
      </c>
      <c r="F529" t="s">
        <v>7</v>
      </c>
    </row>
    <row r="530" spans="1:6" x14ac:dyDescent="0.2">
      <c r="A530">
        <v>2</v>
      </c>
      <c r="B530">
        <v>1</v>
      </c>
      <c r="C530" t="s">
        <v>26</v>
      </c>
      <c r="D530" t="s">
        <v>9</v>
      </c>
      <c r="E530" t="b">
        <v>0</v>
      </c>
      <c r="F530" t="s">
        <v>7</v>
      </c>
    </row>
    <row r="531" spans="1:6" x14ac:dyDescent="0.2">
      <c r="A531">
        <v>2</v>
      </c>
      <c r="B531">
        <v>1</v>
      </c>
      <c r="C531" t="s">
        <v>8</v>
      </c>
      <c r="D531" t="s">
        <v>9</v>
      </c>
      <c r="E531" t="b">
        <v>0</v>
      </c>
      <c r="F531" t="s">
        <v>7</v>
      </c>
    </row>
    <row r="532" spans="1:6" x14ac:dyDescent="0.2">
      <c r="A532">
        <v>2</v>
      </c>
      <c r="B532">
        <v>1</v>
      </c>
      <c r="C532" t="s">
        <v>24</v>
      </c>
      <c r="D532" t="s">
        <v>9</v>
      </c>
      <c r="E532" t="b">
        <v>0</v>
      </c>
      <c r="F532" t="s">
        <v>7</v>
      </c>
    </row>
    <row r="533" spans="1:6" x14ac:dyDescent="0.2">
      <c r="A533">
        <v>2</v>
      </c>
      <c r="B533">
        <v>1</v>
      </c>
      <c r="C533" t="s">
        <v>25</v>
      </c>
      <c r="D533" t="s">
        <v>9</v>
      </c>
      <c r="E533" t="b">
        <v>0</v>
      </c>
      <c r="F533" t="s">
        <v>7</v>
      </c>
    </row>
    <row r="534" spans="1:6" x14ac:dyDescent="0.2">
      <c r="A534">
        <v>2</v>
      </c>
      <c r="B534">
        <v>1</v>
      </c>
      <c r="C534" t="s">
        <v>26</v>
      </c>
      <c r="D534" t="s">
        <v>9</v>
      </c>
      <c r="E534" t="b">
        <v>0</v>
      </c>
      <c r="F534" t="s">
        <v>7</v>
      </c>
    </row>
    <row r="535" spans="1:6" x14ac:dyDescent="0.2">
      <c r="A535">
        <v>2</v>
      </c>
      <c r="B535">
        <v>1</v>
      </c>
      <c r="C535" t="s">
        <v>8</v>
      </c>
      <c r="D535" t="s">
        <v>9</v>
      </c>
      <c r="E535" t="b">
        <v>0</v>
      </c>
      <c r="F535" t="s">
        <v>7</v>
      </c>
    </row>
    <row r="536" spans="1:6" x14ac:dyDescent="0.2">
      <c r="A536">
        <v>2</v>
      </c>
      <c r="B536">
        <v>1</v>
      </c>
      <c r="C536" t="s">
        <v>24</v>
      </c>
      <c r="D536" t="s">
        <v>9</v>
      </c>
      <c r="E536" t="b">
        <v>0</v>
      </c>
      <c r="F536" t="s">
        <v>7</v>
      </c>
    </row>
    <row r="537" spans="1:6" x14ac:dyDescent="0.2">
      <c r="A537">
        <v>2</v>
      </c>
      <c r="B537">
        <v>1</v>
      </c>
      <c r="C537" t="s">
        <v>25</v>
      </c>
      <c r="D537" t="s">
        <v>9</v>
      </c>
      <c r="E537" t="b">
        <v>0</v>
      </c>
      <c r="F537" t="s">
        <v>7</v>
      </c>
    </row>
    <row r="538" spans="1:6" x14ac:dyDescent="0.2">
      <c r="A538">
        <v>2</v>
      </c>
      <c r="B538">
        <v>1</v>
      </c>
      <c r="C538" t="s">
        <v>26</v>
      </c>
      <c r="D538" t="s">
        <v>9</v>
      </c>
      <c r="E538" t="b">
        <v>0</v>
      </c>
      <c r="F538" t="s">
        <v>7</v>
      </c>
    </row>
    <row r="539" spans="1:6" x14ac:dyDescent="0.2">
      <c r="A539">
        <v>2</v>
      </c>
      <c r="B539">
        <v>1</v>
      </c>
      <c r="C539" t="s">
        <v>8</v>
      </c>
      <c r="D539" t="s">
        <v>9</v>
      </c>
      <c r="E539" t="b">
        <v>0</v>
      </c>
      <c r="F539" t="s">
        <v>7</v>
      </c>
    </row>
    <row r="540" spans="1:6" x14ac:dyDescent="0.2">
      <c r="A540">
        <v>100</v>
      </c>
      <c r="B540">
        <v>10</v>
      </c>
      <c r="C540" t="s">
        <v>9</v>
      </c>
      <c r="D540" t="s">
        <v>12</v>
      </c>
      <c r="E540" t="b">
        <v>0</v>
      </c>
      <c r="F540" t="s">
        <v>7</v>
      </c>
    </row>
    <row r="541" spans="1:6" x14ac:dyDescent="0.2">
      <c r="A541">
        <v>2</v>
      </c>
      <c r="B541">
        <v>1</v>
      </c>
      <c r="C541" t="s">
        <v>8</v>
      </c>
      <c r="D541" t="s">
        <v>9</v>
      </c>
      <c r="E541" t="b">
        <v>0</v>
      </c>
      <c r="F541" t="s">
        <v>7</v>
      </c>
    </row>
    <row r="542" spans="1:6" x14ac:dyDescent="0.2">
      <c r="A542">
        <v>2</v>
      </c>
      <c r="B542">
        <v>1</v>
      </c>
      <c r="C542" t="s">
        <v>24</v>
      </c>
      <c r="D542" t="s">
        <v>9</v>
      </c>
      <c r="E542" t="b">
        <v>0</v>
      </c>
      <c r="F542" t="s">
        <v>7</v>
      </c>
    </row>
    <row r="543" spans="1:6" x14ac:dyDescent="0.2">
      <c r="A543">
        <v>2</v>
      </c>
      <c r="B543">
        <v>1</v>
      </c>
      <c r="C543" t="s">
        <v>25</v>
      </c>
      <c r="D543" t="s">
        <v>9</v>
      </c>
      <c r="E543" t="b">
        <v>0</v>
      </c>
      <c r="F543" t="s">
        <v>7</v>
      </c>
    </row>
    <row r="544" spans="1:6" x14ac:dyDescent="0.2">
      <c r="A544">
        <v>2</v>
      </c>
      <c r="B544">
        <v>1</v>
      </c>
      <c r="C544" t="s">
        <v>26</v>
      </c>
      <c r="D544" t="s">
        <v>9</v>
      </c>
      <c r="E544" t="b">
        <v>0</v>
      </c>
      <c r="F544" t="s">
        <v>7</v>
      </c>
    </row>
    <row r="545" spans="1:6" x14ac:dyDescent="0.2">
      <c r="A545">
        <v>2</v>
      </c>
      <c r="B545">
        <v>1</v>
      </c>
      <c r="C545" t="s">
        <v>8</v>
      </c>
      <c r="D545" t="s">
        <v>9</v>
      </c>
      <c r="E545" t="b">
        <v>0</v>
      </c>
      <c r="F545" t="s">
        <v>7</v>
      </c>
    </row>
    <row r="546" spans="1:6" x14ac:dyDescent="0.2">
      <c r="A546">
        <v>100</v>
      </c>
      <c r="B546">
        <v>10</v>
      </c>
      <c r="C546" t="s">
        <v>9</v>
      </c>
      <c r="D546" t="s">
        <v>12</v>
      </c>
      <c r="E546" t="b">
        <v>0</v>
      </c>
      <c r="F546" t="s">
        <v>7</v>
      </c>
    </row>
    <row r="547" spans="1:6" x14ac:dyDescent="0.2">
      <c r="A547">
        <v>2</v>
      </c>
      <c r="B547">
        <v>1</v>
      </c>
      <c r="C547" t="s">
        <v>8</v>
      </c>
      <c r="D547" t="s">
        <v>9</v>
      </c>
      <c r="E547" t="b">
        <v>0</v>
      </c>
      <c r="F547" t="s">
        <v>7</v>
      </c>
    </row>
    <row r="548" spans="1:6" x14ac:dyDescent="0.2">
      <c r="A548">
        <v>2</v>
      </c>
      <c r="B548">
        <v>1</v>
      </c>
      <c r="C548" t="s">
        <v>24</v>
      </c>
      <c r="D548" t="s">
        <v>9</v>
      </c>
      <c r="E548" t="b">
        <v>0</v>
      </c>
      <c r="F548" t="s">
        <v>7</v>
      </c>
    </row>
    <row r="549" spans="1:6" x14ac:dyDescent="0.2">
      <c r="A549">
        <v>2</v>
      </c>
      <c r="B549">
        <v>1</v>
      </c>
      <c r="C549" t="s">
        <v>25</v>
      </c>
      <c r="D549" t="s">
        <v>9</v>
      </c>
      <c r="E549" t="b">
        <v>0</v>
      </c>
      <c r="F549" t="s">
        <v>7</v>
      </c>
    </row>
    <row r="550" spans="1:6" x14ac:dyDescent="0.2">
      <c r="A550">
        <v>2</v>
      </c>
      <c r="B550">
        <v>1</v>
      </c>
      <c r="C550" t="s">
        <v>26</v>
      </c>
      <c r="D550" t="s">
        <v>9</v>
      </c>
      <c r="E550" t="b">
        <v>0</v>
      </c>
      <c r="F550" t="s">
        <v>7</v>
      </c>
    </row>
    <row r="551" spans="1:6" x14ac:dyDescent="0.2">
      <c r="A551">
        <v>2</v>
      </c>
      <c r="B551">
        <v>1</v>
      </c>
      <c r="C551" t="s">
        <v>8</v>
      </c>
      <c r="D551" t="s">
        <v>9</v>
      </c>
      <c r="E551" t="b">
        <v>0</v>
      </c>
      <c r="F551" t="s">
        <v>7</v>
      </c>
    </row>
    <row r="552" spans="1:6" x14ac:dyDescent="0.2">
      <c r="A552">
        <v>2</v>
      </c>
      <c r="B552">
        <v>1</v>
      </c>
      <c r="C552" t="s">
        <v>24</v>
      </c>
      <c r="D552" t="s">
        <v>9</v>
      </c>
      <c r="E552" t="b">
        <v>0</v>
      </c>
      <c r="F552" t="s">
        <v>7</v>
      </c>
    </row>
    <row r="553" spans="1:6" x14ac:dyDescent="0.2">
      <c r="A553">
        <v>2</v>
      </c>
      <c r="B553">
        <v>1</v>
      </c>
      <c r="C553" t="s">
        <v>25</v>
      </c>
      <c r="D553" t="s">
        <v>9</v>
      </c>
      <c r="E553" t="b">
        <v>0</v>
      </c>
      <c r="F553" t="s">
        <v>7</v>
      </c>
    </row>
    <row r="554" spans="1:6" x14ac:dyDescent="0.2">
      <c r="A554">
        <v>2</v>
      </c>
      <c r="B554">
        <v>1</v>
      </c>
      <c r="C554" t="s">
        <v>26</v>
      </c>
      <c r="D554" t="s">
        <v>9</v>
      </c>
      <c r="E554" t="b">
        <v>0</v>
      </c>
      <c r="F554" t="s">
        <v>7</v>
      </c>
    </row>
    <row r="555" spans="1:6" x14ac:dyDescent="0.2">
      <c r="A555">
        <v>2</v>
      </c>
      <c r="B555">
        <v>1</v>
      </c>
      <c r="C555" t="s">
        <v>8</v>
      </c>
      <c r="D555" t="s">
        <v>9</v>
      </c>
      <c r="E555" t="b">
        <v>0</v>
      </c>
      <c r="F555" t="s">
        <v>7</v>
      </c>
    </row>
    <row r="556" spans="1:6" x14ac:dyDescent="0.2">
      <c r="A556">
        <v>2</v>
      </c>
      <c r="B556">
        <v>1</v>
      </c>
      <c r="C556" t="s">
        <v>24</v>
      </c>
      <c r="D556" t="s">
        <v>9</v>
      </c>
      <c r="E556" t="b">
        <v>0</v>
      </c>
      <c r="F556" t="s">
        <v>7</v>
      </c>
    </row>
    <row r="557" spans="1:6" x14ac:dyDescent="0.2">
      <c r="A557">
        <v>2</v>
      </c>
      <c r="B557">
        <v>1</v>
      </c>
      <c r="C557" t="s">
        <v>25</v>
      </c>
      <c r="D557" t="s">
        <v>9</v>
      </c>
      <c r="E557" t="b">
        <v>0</v>
      </c>
      <c r="F557" t="s">
        <v>7</v>
      </c>
    </row>
    <row r="558" spans="1:6" x14ac:dyDescent="0.2">
      <c r="A558">
        <v>2</v>
      </c>
      <c r="B558">
        <v>1</v>
      </c>
      <c r="C558" t="s">
        <v>26</v>
      </c>
      <c r="D558" t="s">
        <v>9</v>
      </c>
      <c r="E558" t="b">
        <v>0</v>
      </c>
      <c r="F558" t="s">
        <v>7</v>
      </c>
    </row>
    <row r="559" spans="1:6" x14ac:dyDescent="0.2">
      <c r="A559">
        <v>2</v>
      </c>
      <c r="B559">
        <v>1</v>
      </c>
      <c r="C559" t="s">
        <v>8</v>
      </c>
      <c r="D559" t="s">
        <v>9</v>
      </c>
      <c r="E559" t="b">
        <v>0</v>
      </c>
      <c r="F559" t="s">
        <v>7</v>
      </c>
    </row>
    <row r="560" spans="1:6" x14ac:dyDescent="0.2">
      <c r="A560">
        <v>2</v>
      </c>
      <c r="B560">
        <v>1</v>
      </c>
      <c r="C560" t="s">
        <v>24</v>
      </c>
      <c r="D560" t="s">
        <v>9</v>
      </c>
      <c r="E560" t="b">
        <v>0</v>
      </c>
      <c r="F560" t="s">
        <v>7</v>
      </c>
    </row>
    <row r="561" spans="1:6" x14ac:dyDescent="0.2">
      <c r="A561">
        <v>2</v>
      </c>
      <c r="B561">
        <v>1</v>
      </c>
      <c r="C561" t="s">
        <v>25</v>
      </c>
      <c r="D561" t="s">
        <v>9</v>
      </c>
      <c r="E561" t="b">
        <v>0</v>
      </c>
      <c r="F561" t="s">
        <v>7</v>
      </c>
    </row>
    <row r="562" spans="1:6" x14ac:dyDescent="0.2">
      <c r="A562">
        <v>2</v>
      </c>
      <c r="B562">
        <v>1</v>
      </c>
      <c r="C562" t="s">
        <v>26</v>
      </c>
      <c r="D562" t="s">
        <v>9</v>
      </c>
      <c r="E562" t="b">
        <v>0</v>
      </c>
      <c r="F562" t="s">
        <v>7</v>
      </c>
    </row>
    <row r="563" spans="1:6" x14ac:dyDescent="0.2">
      <c r="A563">
        <v>2</v>
      </c>
      <c r="B563">
        <v>1</v>
      </c>
      <c r="C563" t="s">
        <v>8</v>
      </c>
      <c r="D563" t="s">
        <v>9</v>
      </c>
      <c r="E563" t="b">
        <v>0</v>
      </c>
      <c r="F563" t="s">
        <v>7</v>
      </c>
    </row>
    <row r="564" spans="1:6" x14ac:dyDescent="0.2">
      <c r="A564">
        <v>2</v>
      </c>
      <c r="B564">
        <v>1</v>
      </c>
      <c r="C564" t="s">
        <v>24</v>
      </c>
      <c r="D564" t="s">
        <v>9</v>
      </c>
      <c r="E564" t="b">
        <v>0</v>
      </c>
      <c r="F564" t="s">
        <v>7</v>
      </c>
    </row>
    <row r="565" spans="1:6" x14ac:dyDescent="0.2">
      <c r="A565">
        <v>2</v>
      </c>
      <c r="B565">
        <v>1</v>
      </c>
      <c r="C565" t="s">
        <v>25</v>
      </c>
      <c r="D565" t="s">
        <v>9</v>
      </c>
      <c r="E565" t="b">
        <v>0</v>
      </c>
      <c r="F565" t="s">
        <v>7</v>
      </c>
    </row>
    <row r="566" spans="1:6" x14ac:dyDescent="0.2">
      <c r="A566">
        <v>2</v>
      </c>
      <c r="B566">
        <v>1</v>
      </c>
      <c r="C566" t="s">
        <v>26</v>
      </c>
      <c r="D566" t="s">
        <v>9</v>
      </c>
      <c r="E566" t="b">
        <v>0</v>
      </c>
      <c r="F566" t="s">
        <v>7</v>
      </c>
    </row>
    <row r="567" spans="1:6" x14ac:dyDescent="0.2">
      <c r="A567">
        <v>2</v>
      </c>
      <c r="B567">
        <v>1</v>
      </c>
      <c r="C567" t="s">
        <v>8</v>
      </c>
      <c r="D567" t="s">
        <v>9</v>
      </c>
      <c r="E567" t="b">
        <v>0</v>
      </c>
      <c r="F567" t="s">
        <v>7</v>
      </c>
    </row>
    <row r="568" spans="1:6" x14ac:dyDescent="0.2">
      <c r="A568">
        <v>2</v>
      </c>
      <c r="B568">
        <v>1</v>
      </c>
      <c r="C568" t="s">
        <v>24</v>
      </c>
      <c r="D568" t="s">
        <v>9</v>
      </c>
      <c r="E568" t="b">
        <v>0</v>
      </c>
      <c r="F568" t="s">
        <v>7</v>
      </c>
    </row>
    <row r="569" spans="1:6" x14ac:dyDescent="0.2">
      <c r="A569">
        <v>2</v>
      </c>
      <c r="B569">
        <v>1</v>
      </c>
      <c r="C569" t="s">
        <v>25</v>
      </c>
      <c r="D569" t="s">
        <v>9</v>
      </c>
      <c r="E569" t="b">
        <v>0</v>
      </c>
      <c r="F569" t="s">
        <v>7</v>
      </c>
    </row>
    <row r="570" spans="1:6" x14ac:dyDescent="0.2">
      <c r="A570">
        <v>2</v>
      </c>
      <c r="B570">
        <v>1</v>
      </c>
      <c r="C570" t="s">
        <v>26</v>
      </c>
      <c r="D570" t="s">
        <v>9</v>
      </c>
      <c r="E570" t="b">
        <v>0</v>
      </c>
      <c r="F570" t="s">
        <v>7</v>
      </c>
    </row>
    <row r="571" spans="1:6" x14ac:dyDescent="0.2">
      <c r="A571">
        <v>2</v>
      </c>
      <c r="B571">
        <v>1</v>
      </c>
      <c r="C571" t="s">
        <v>8</v>
      </c>
      <c r="D571" t="s">
        <v>9</v>
      </c>
      <c r="E571" t="b">
        <v>0</v>
      </c>
      <c r="F571" t="s">
        <v>7</v>
      </c>
    </row>
    <row r="572" spans="1:6" x14ac:dyDescent="0.2">
      <c r="A572">
        <v>2</v>
      </c>
      <c r="B572">
        <v>1</v>
      </c>
      <c r="C572" t="s">
        <v>24</v>
      </c>
      <c r="D572" t="s">
        <v>9</v>
      </c>
      <c r="E572" t="b">
        <v>0</v>
      </c>
      <c r="F572" t="s">
        <v>7</v>
      </c>
    </row>
    <row r="573" spans="1:6" x14ac:dyDescent="0.2">
      <c r="A573">
        <v>2</v>
      </c>
      <c r="B573">
        <v>1</v>
      </c>
      <c r="C573" t="s">
        <v>25</v>
      </c>
      <c r="D573" t="s">
        <v>9</v>
      </c>
      <c r="E573" t="b">
        <v>0</v>
      </c>
      <c r="F573" t="s">
        <v>7</v>
      </c>
    </row>
    <row r="574" spans="1:6" x14ac:dyDescent="0.2">
      <c r="A574">
        <v>2</v>
      </c>
      <c r="B574">
        <v>1</v>
      </c>
      <c r="C574" t="s">
        <v>26</v>
      </c>
      <c r="D574" t="s">
        <v>9</v>
      </c>
      <c r="E574" t="b">
        <v>0</v>
      </c>
      <c r="F574" t="s">
        <v>7</v>
      </c>
    </row>
    <row r="575" spans="1:6" x14ac:dyDescent="0.2">
      <c r="A575">
        <v>2</v>
      </c>
      <c r="B575">
        <v>1</v>
      </c>
      <c r="C575" t="s">
        <v>8</v>
      </c>
      <c r="D575" t="s">
        <v>9</v>
      </c>
      <c r="E575" t="b">
        <v>0</v>
      </c>
      <c r="F575" t="s">
        <v>7</v>
      </c>
    </row>
    <row r="576" spans="1:6" x14ac:dyDescent="0.2">
      <c r="A576">
        <v>2</v>
      </c>
      <c r="B576">
        <v>1</v>
      </c>
      <c r="C576" t="s">
        <v>24</v>
      </c>
      <c r="D576" t="s">
        <v>9</v>
      </c>
      <c r="E576" t="b">
        <v>0</v>
      </c>
      <c r="F576" t="s">
        <v>7</v>
      </c>
    </row>
    <row r="577" spans="1:6" x14ac:dyDescent="0.2">
      <c r="A577">
        <v>2</v>
      </c>
      <c r="B577">
        <v>1</v>
      </c>
      <c r="C577" t="s">
        <v>25</v>
      </c>
      <c r="D577" t="s">
        <v>9</v>
      </c>
      <c r="E577" t="b">
        <v>0</v>
      </c>
      <c r="F577" t="s">
        <v>7</v>
      </c>
    </row>
    <row r="578" spans="1:6" x14ac:dyDescent="0.2">
      <c r="A578">
        <v>2</v>
      </c>
      <c r="B578">
        <v>1</v>
      </c>
      <c r="C578" t="s">
        <v>26</v>
      </c>
      <c r="D578" t="s">
        <v>9</v>
      </c>
      <c r="E578" t="b">
        <v>0</v>
      </c>
      <c r="F578" t="s">
        <v>7</v>
      </c>
    </row>
    <row r="579" spans="1:6" x14ac:dyDescent="0.2">
      <c r="A579">
        <v>2</v>
      </c>
      <c r="B579">
        <v>1</v>
      </c>
      <c r="C579" t="s">
        <v>8</v>
      </c>
      <c r="D579" t="s">
        <v>9</v>
      </c>
      <c r="E579" t="b">
        <v>0</v>
      </c>
      <c r="F579" t="s">
        <v>7</v>
      </c>
    </row>
    <row r="580" spans="1:6" x14ac:dyDescent="0.2">
      <c r="A580">
        <v>2</v>
      </c>
      <c r="B580">
        <v>1</v>
      </c>
      <c r="C580" t="s">
        <v>24</v>
      </c>
      <c r="D580" t="s">
        <v>9</v>
      </c>
      <c r="E580" t="b">
        <v>0</v>
      </c>
      <c r="F580" t="s">
        <v>7</v>
      </c>
    </row>
    <row r="581" spans="1:6" x14ac:dyDescent="0.2">
      <c r="A581">
        <v>2</v>
      </c>
      <c r="B581">
        <v>1</v>
      </c>
      <c r="C581" t="s">
        <v>25</v>
      </c>
      <c r="D581" t="s">
        <v>9</v>
      </c>
      <c r="E581" t="b">
        <v>0</v>
      </c>
      <c r="F581" t="s">
        <v>7</v>
      </c>
    </row>
    <row r="582" spans="1:6" x14ac:dyDescent="0.2">
      <c r="A582">
        <v>2</v>
      </c>
      <c r="B582">
        <v>1</v>
      </c>
      <c r="C582" t="s">
        <v>26</v>
      </c>
      <c r="D582" t="s">
        <v>9</v>
      </c>
      <c r="E582" t="b">
        <v>0</v>
      </c>
      <c r="F582" t="s">
        <v>7</v>
      </c>
    </row>
    <row r="583" spans="1:6" x14ac:dyDescent="0.2">
      <c r="A583">
        <v>2</v>
      </c>
      <c r="B583">
        <v>1</v>
      </c>
      <c r="C583" t="s">
        <v>8</v>
      </c>
      <c r="D583" t="s">
        <v>9</v>
      </c>
      <c r="E583" t="b">
        <v>0</v>
      </c>
      <c r="F583" t="s">
        <v>7</v>
      </c>
    </row>
    <row r="584" spans="1:6" x14ac:dyDescent="0.2">
      <c r="A584">
        <v>2</v>
      </c>
      <c r="B584">
        <v>1</v>
      </c>
      <c r="C584" t="s">
        <v>24</v>
      </c>
      <c r="D584" t="s">
        <v>9</v>
      </c>
      <c r="E584" t="b">
        <v>0</v>
      </c>
      <c r="F584" t="s">
        <v>7</v>
      </c>
    </row>
    <row r="585" spans="1:6" x14ac:dyDescent="0.2">
      <c r="A585">
        <v>2</v>
      </c>
      <c r="B585">
        <v>1</v>
      </c>
      <c r="C585" t="s">
        <v>25</v>
      </c>
      <c r="D585" t="s">
        <v>9</v>
      </c>
      <c r="E585" t="b">
        <v>0</v>
      </c>
      <c r="F585" t="s">
        <v>7</v>
      </c>
    </row>
    <row r="586" spans="1:6" x14ac:dyDescent="0.2">
      <c r="A586">
        <v>2</v>
      </c>
      <c r="B586">
        <v>1</v>
      </c>
      <c r="C586" t="s">
        <v>26</v>
      </c>
      <c r="D586" t="s">
        <v>9</v>
      </c>
      <c r="E586" t="b">
        <v>0</v>
      </c>
      <c r="F586" t="s">
        <v>7</v>
      </c>
    </row>
    <row r="587" spans="1:6" x14ac:dyDescent="0.2">
      <c r="A587">
        <v>2</v>
      </c>
      <c r="B587">
        <v>1</v>
      </c>
      <c r="C587" t="s">
        <v>8</v>
      </c>
      <c r="D587" t="s">
        <v>9</v>
      </c>
      <c r="E587" t="b">
        <v>0</v>
      </c>
      <c r="F587" t="s">
        <v>7</v>
      </c>
    </row>
    <row r="588" spans="1:6" x14ac:dyDescent="0.2">
      <c r="A588">
        <v>2</v>
      </c>
      <c r="B588">
        <v>1</v>
      </c>
      <c r="C588" t="s">
        <v>24</v>
      </c>
      <c r="D588" t="s">
        <v>9</v>
      </c>
      <c r="E588" t="b">
        <v>0</v>
      </c>
      <c r="F588" t="s">
        <v>7</v>
      </c>
    </row>
    <row r="589" spans="1:6" x14ac:dyDescent="0.2">
      <c r="A589">
        <v>2</v>
      </c>
      <c r="B589">
        <v>1</v>
      </c>
      <c r="C589" t="s">
        <v>25</v>
      </c>
      <c r="D589" t="s">
        <v>9</v>
      </c>
      <c r="E589" t="b">
        <v>0</v>
      </c>
      <c r="F589" t="s">
        <v>7</v>
      </c>
    </row>
    <row r="590" spans="1:6" x14ac:dyDescent="0.2">
      <c r="A590">
        <v>2</v>
      </c>
      <c r="B590">
        <v>1</v>
      </c>
      <c r="C590" t="s">
        <v>26</v>
      </c>
      <c r="D590" t="s">
        <v>9</v>
      </c>
      <c r="E590" t="b">
        <v>0</v>
      </c>
      <c r="F590" t="s">
        <v>7</v>
      </c>
    </row>
    <row r="591" spans="1:6" x14ac:dyDescent="0.2">
      <c r="A591">
        <v>2</v>
      </c>
      <c r="B591">
        <v>1</v>
      </c>
      <c r="C591" t="s">
        <v>8</v>
      </c>
      <c r="D591" t="s">
        <v>9</v>
      </c>
      <c r="E591" t="b">
        <v>0</v>
      </c>
      <c r="F591" t="s">
        <v>7</v>
      </c>
    </row>
    <row r="592" spans="1:6" x14ac:dyDescent="0.2">
      <c r="A592">
        <v>2</v>
      </c>
      <c r="B592">
        <v>1</v>
      </c>
      <c r="C592" t="s">
        <v>24</v>
      </c>
      <c r="D592" t="s">
        <v>9</v>
      </c>
      <c r="E592" t="b">
        <v>0</v>
      </c>
      <c r="F592" t="s">
        <v>7</v>
      </c>
    </row>
    <row r="593" spans="1:6" x14ac:dyDescent="0.2">
      <c r="A593">
        <v>2</v>
      </c>
      <c r="B593">
        <v>1</v>
      </c>
      <c r="C593" t="s">
        <v>25</v>
      </c>
      <c r="D593" t="s">
        <v>9</v>
      </c>
      <c r="E593" t="b">
        <v>0</v>
      </c>
      <c r="F593" t="s">
        <v>7</v>
      </c>
    </row>
    <row r="594" spans="1:6" x14ac:dyDescent="0.2">
      <c r="A594">
        <v>2</v>
      </c>
      <c r="B594">
        <v>1</v>
      </c>
      <c r="C594" t="s">
        <v>26</v>
      </c>
      <c r="D594" t="s">
        <v>9</v>
      </c>
      <c r="E594" t="b">
        <v>0</v>
      </c>
      <c r="F594" t="s">
        <v>7</v>
      </c>
    </row>
    <row r="595" spans="1:6" x14ac:dyDescent="0.2">
      <c r="A595">
        <v>2</v>
      </c>
      <c r="B595">
        <v>1</v>
      </c>
      <c r="C595" t="s">
        <v>8</v>
      </c>
      <c r="D595" t="s">
        <v>9</v>
      </c>
      <c r="E595" t="b">
        <v>0</v>
      </c>
      <c r="F595" t="s">
        <v>7</v>
      </c>
    </row>
    <row r="596" spans="1:6" x14ac:dyDescent="0.2">
      <c r="A596">
        <v>2</v>
      </c>
      <c r="B596">
        <v>1</v>
      </c>
      <c r="C596" t="s">
        <v>24</v>
      </c>
      <c r="D596" t="s">
        <v>9</v>
      </c>
      <c r="E596" t="b">
        <v>0</v>
      </c>
      <c r="F596" t="s">
        <v>7</v>
      </c>
    </row>
    <row r="597" spans="1:6" x14ac:dyDescent="0.2">
      <c r="A597">
        <v>2</v>
      </c>
      <c r="B597">
        <v>1</v>
      </c>
      <c r="C597" t="s">
        <v>25</v>
      </c>
      <c r="D597" t="s">
        <v>9</v>
      </c>
      <c r="E597" t="b">
        <v>0</v>
      </c>
      <c r="F597" t="s">
        <v>7</v>
      </c>
    </row>
    <row r="598" spans="1:6" x14ac:dyDescent="0.2">
      <c r="A598">
        <v>2</v>
      </c>
      <c r="B598">
        <v>1</v>
      </c>
      <c r="C598" t="s">
        <v>26</v>
      </c>
      <c r="D598" t="s">
        <v>9</v>
      </c>
      <c r="E598" t="b">
        <v>0</v>
      </c>
      <c r="F598" t="s">
        <v>7</v>
      </c>
    </row>
    <row r="599" spans="1:6" x14ac:dyDescent="0.2">
      <c r="A599">
        <v>2</v>
      </c>
      <c r="B599">
        <v>1</v>
      </c>
      <c r="C599" t="s">
        <v>8</v>
      </c>
      <c r="D599" t="s">
        <v>9</v>
      </c>
      <c r="E599" t="b">
        <v>0</v>
      </c>
      <c r="F599" t="s">
        <v>7</v>
      </c>
    </row>
    <row r="600" spans="1:6" x14ac:dyDescent="0.2">
      <c r="A600">
        <v>2</v>
      </c>
      <c r="B600">
        <v>1</v>
      </c>
      <c r="C600" t="s">
        <v>24</v>
      </c>
      <c r="D600" t="s">
        <v>9</v>
      </c>
      <c r="E600" t="b">
        <v>0</v>
      </c>
      <c r="F600" t="s">
        <v>7</v>
      </c>
    </row>
    <row r="601" spans="1:6" x14ac:dyDescent="0.2">
      <c r="A601">
        <v>2</v>
      </c>
      <c r="B601">
        <v>1</v>
      </c>
      <c r="C601" t="s">
        <v>25</v>
      </c>
      <c r="D601" t="s">
        <v>9</v>
      </c>
      <c r="E601" t="b">
        <v>0</v>
      </c>
      <c r="F601" t="s">
        <v>7</v>
      </c>
    </row>
    <row r="602" spans="1:6" x14ac:dyDescent="0.2">
      <c r="A602">
        <v>2</v>
      </c>
      <c r="B602">
        <v>1</v>
      </c>
      <c r="C602" t="s">
        <v>26</v>
      </c>
      <c r="D602" t="s">
        <v>9</v>
      </c>
      <c r="E602" t="b">
        <v>0</v>
      </c>
      <c r="F602" t="s">
        <v>7</v>
      </c>
    </row>
    <row r="603" spans="1:6" x14ac:dyDescent="0.2">
      <c r="A603">
        <v>2</v>
      </c>
      <c r="B603">
        <v>1</v>
      </c>
      <c r="C603" t="s">
        <v>8</v>
      </c>
      <c r="D603" t="s">
        <v>9</v>
      </c>
      <c r="E603" t="b">
        <v>0</v>
      </c>
      <c r="F603" t="s">
        <v>7</v>
      </c>
    </row>
    <row r="604" spans="1:6" x14ac:dyDescent="0.2">
      <c r="A604">
        <v>2</v>
      </c>
      <c r="B604">
        <v>1</v>
      </c>
      <c r="C604" t="s">
        <v>24</v>
      </c>
      <c r="D604" t="s">
        <v>9</v>
      </c>
      <c r="E604" t="b">
        <v>0</v>
      </c>
      <c r="F604" t="s">
        <v>7</v>
      </c>
    </row>
    <row r="605" spans="1:6" x14ac:dyDescent="0.2">
      <c r="A605">
        <v>2</v>
      </c>
      <c r="B605">
        <v>1</v>
      </c>
      <c r="C605" t="s">
        <v>25</v>
      </c>
      <c r="D605" t="s">
        <v>9</v>
      </c>
      <c r="E605" t="b">
        <v>0</v>
      </c>
      <c r="F605" t="s">
        <v>7</v>
      </c>
    </row>
    <row r="606" spans="1:6" x14ac:dyDescent="0.2">
      <c r="A606">
        <v>2</v>
      </c>
      <c r="B606">
        <v>1</v>
      </c>
      <c r="C606" t="s">
        <v>26</v>
      </c>
      <c r="D606" t="s">
        <v>9</v>
      </c>
      <c r="E606" t="b">
        <v>0</v>
      </c>
      <c r="F606" t="s">
        <v>7</v>
      </c>
    </row>
    <row r="607" spans="1:6" x14ac:dyDescent="0.2">
      <c r="A607">
        <v>2</v>
      </c>
      <c r="B607">
        <v>1</v>
      </c>
      <c r="C607" t="s">
        <v>8</v>
      </c>
      <c r="D607" t="s">
        <v>9</v>
      </c>
      <c r="E607" t="b">
        <v>0</v>
      </c>
      <c r="F607" t="s">
        <v>7</v>
      </c>
    </row>
    <row r="608" spans="1:6" x14ac:dyDescent="0.2">
      <c r="A608">
        <v>2</v>
      </c>
      <c r="B608">
        <v>1</v>
      </c>
      <c r="C608" t="s">
        <v>24</v>
      </c>
      <c r="D608" t="s">
        <v>9</v>
      </c>
      <c r="E608" t="b">
        <v>0</v>
      </c>
      <c r="F608" t="s">
        <v>7</v>
      </c>
    </row>
    <row r="609" spans="1:6" x14ac:dyDescent="0.2">
      <c r="A609">
        <v>2</v>
      </c>
      <c r="B609">
        <v>1</v>
      </c>
      <c r="C609" t="s">
        <v>25</v>
      </c>
      <c r="D609" t="s">
        <v>9</v>
      </c>
      <c r="E609" t="b">
        <v>0</v>
      </c>
      <c r="F609" t="s">
        <v>7</v>
      </c>
    </row>
    <row r="610" spans="1:6" x14ac:dyDescent="0.2">
      <c r="A610">
        <v>2</v>
      </c>
      <c r="B610">
        <v>1</v>
      </c>
      <c r="C610" t="s">
        <v>26</v>
      </c>
      <c r="D610" t="s">
        <v>9</v>
      </c>
      <c r="E610" t="b">
        <v>0</v>
      </c>
      <c r="F610" t="s">
        <v>7</v>
      </c>
    </row>
    <row r="611" spans="1:6" x14ac:dyDescent="0.2">
      <c r="A611">
        <v>2</v>
      </c>
      <c r="B611">
        <v>1</v>
      </c>
      <c r="C611" t="s">
        <v>8</v>
      </c>
      <c r="D611" t="s">
        <v>9</v>
      </c>
      <c r="E611" t="b">
        <v>0</v>
      </c>
      <c r="F611" t="s">
        <v>7</v>
      </c>
    </row>
    <row r="612" spans="1:6" x14ac:dyDescent="0.2">
      <c r="A612">
        <v>2</v>
      </c>
      <c r="B612">
        <v>1</v>
      </c>
      <c r="C612" t="s">
        <v>24</v>
      </c>
      <c r="D612" t="s">
        <v>9</v>
      </c>
      <c r="E612" t="b">
        <v>0</v>
      </c>
      <c r="F612" t="s">
        <v>7</v>
      </c>
    </row>
    <row r="613" spans="1:6" x14ac:dyDescent="0.2">
      <c r="A613">
        <v>2</v>
      </c>
      <c r="B613">
        <v>1</v>
      </c>
      <c r="C613" t="s">
        <v>25</v>
      </c>
      <c r="D613" t="s">
        <v>9</v>
      </c>
      <c r="E613" t="b">
        <v>0</v>
      </c>
      <c r="F613" t="s">
        <v>7</v>
      </c>
    </row>
    <row r="614" spans="1:6" x14ac:dyDescent="0.2">
      <c r="A614">
        <v>2</v>
      </c>
      <c r="B614">
        <v>1</v>
      </c>
      <c r="C614" t="s">
        <v>26</v>
      </c>
      <c r="D614" t="s">
        <v>9</v>
      </c>
      <c r="E614" t="b">
        <v>0</v>
      </c>
      <c r="F614" t="s">
        <v>7</v>
      </c>
    </row>
    <row r="615" spans="1:6" x14ac:dyDescent="0.2">
      <c r="A615">
        <v>2</v>
      </c>
      <c r="B615">
        <v>1</v>
      </c>
      <c r="C615" t="s">
        <v>8</v>
      </c>
      <c r="D615" t="s">
        <v>9</v>
      </c>
      <c r="E615" t="b">
        <v>0</v>
      </c>
      <c r="F615" t="s">
        <v>7</v>
      </c>
    </row>
    <row r="616" spans="1:6" x14ac:dyDescent="0.2">
      <c r="A616">
        <v>2</v>
      </c>
      <c r="B616">
        <v>1</v>
      </c>
      <c r="C616" t="s">
        <v>24</v>
      </c>
      <c r="D616" t="s">
        <v>9</v>
      </c>
      <c r="E616" t="b">
        <v>0</v>
      </c>
      <c r="F616" t="s">
        <v>7</v>
      </c>
    </row>
    <row r="617" spans="1:6" x14ac:dyDescent="0.2">
      <c r="A617">
        <v>2</v>
      </c>
      <c r="B617">
        <v>1</v>
      </c>
      <c r="C617" t="s">
        <v>25</v>
      </c>
      <c r="D617" t="s">
        <v>9</v>
      </c>
      <c r="E617" t="b">
        <v>0</v>
      </c>
      <c r="F617" t="s">
        <v>7</v>
      </c>
    </row>
    <row r="618" spans="1:6" x14ac:dyDescent="0.2">
      <c r="A618">
        <v>2</v>
      </c>
      <c r="B618">
        <v>1</v>
      </c>
      <c r="C618" t="s">
        <v>26</v>
      </c>
      <c r="D618" t="s">
        <v>9</v>
      </c>
      <c r="E618" t="b">
        <v>0</v>
      </c>
      <c r="F618" t="s">
        <v>7</v>
      </c>
    </row>
    <row r="619" spans="1:6" x14ac:dyDescent="0.2">
      <c r="A619">
        <v>2</v>
      </c>
      <c r="B619">
        <v>1</v>
      </c>
      <c r="C619" t="s">
        <v>8</v>
      </c>
      <c r="D619" t="s">
        <v>9</v>
      </c>
      <c r="E619" t="b">
        <v>0</v>
      </c>
      <c r="F619" t="s">
        <v>7</v>
      </c>
    </row>
    <row r="620" spans="1:6" x14ac:dyDescent="0.2">
      <c r="A620">
        <v>2</v>
      </c>
      <c r="B620">
        <v>1</v>
      </c>
      <c r="C620" t="s">
        <v>24</v>
      </c>
      <c r="D620" t="s">
        <v>9</v>
      </c>
      <c r="E620" t="b">
        <v>0</v>
      </c>
      <c r="F620" t="s">
        <v>7</v>
      </c>
    </row>
    <row r="621" spans="1:6" x14ac:dyDescent="0.2">
      <c r="A621">
        <v>2</v>
      </c>
      <c r="B621">
        <v>1</v>
      </c>
      <c r="C621" t="s">
        <v>25</v>
      </c>
      <c r="D621" t="s">
        <v>9</v>
      </c>
      <c r="E621" t="b">
        <v>0</v>
      </c>
      <c r="F621" t="s">
        <v>7</v>
      </c>
    </row>
    <row r="622" spans="1:6" x14ac:dyDescent="0.2">
      <c r="A622">
        <v>2</v>
      </c>
      <c r="B622">
        <v>1</v>
      </c>
      <c r="C622" t="s">
        <v>26</v>
      </c>
      <c r="D622" t="s">
        <v>9</v>
      </c>
      <c r="E622" t="b">
        <v>0</v>
      </c>
      <c r="F622" t="s">
        <v>7</v>
      </c>
    </row>
    <row r="623" spans="1:6" x14ac:dyDescent="0.2">
      <c r="A623">
        <v>2</v>
      </c>
      <c r="B623">
        <v>1</v>
      </c>
      <c r="C623" t="s">
        <v>8</v>
      </c>
      <c r="D623" t="s">
        <v>9</v>
      </c>
      <c r="E623" t="b">
        <v>0</v>
      </c>
      <c r="F623" t="s">
        <v>7</v>
      </c>
    </row>
    <row r="624" spans="1:6" x14ac:dyDescent="0.2">
      <c r="A624">
        <v>2</v>
      </c>
      <c r="B624">
        <v>1</v>
      </c>
      <c r="C624" t="s">
        <v>24</v>
      </c>
      <c r="D624" t="s">
        <v>9</v>
      </c>
      <c r="E624" t="b">
        <v>0</v>
      </c>
      <c r="F624" t="s">
        <v>7</v>
      </c>
    </row>
    <row r="625" spans="1:6" x14ac:dyDescent="0.2">
      <c r="A625">
        <v>2</v>
      </c>
      <c r="B625">
        <v>1</v>
      </c>
      <c r="C625" t="s">
        <v>25</v>
      </c>
      <c r="D625" t="s">
        <v>9</v>
      </c>
      <c r="E625" t="b">
        <v>0</v>
      </c>
      <c r="F625" t="s">
        <v>7</v>
      </c>
    </row>
    <row r="626" spans="1:6" x14ac:dyDescent="0.2">
      <c r="A626">
        <v>2</v>
      </c>
      <c r="B626">
        <v>1</v>
      </c>
      <c r="C626" t="s">
        <v>26</v>
      </c>
      <c r="D626" t="s">
        <v>9</v>
      </c>
      <c r="E626" t="b">
        <v>0</v>
      </c>
      <c r="F626" t="s">
        <v>7</v>
      </c>
    </row>
    <row r="627" spans="1:6" x14ac:dyDescent="0.2">
      <c r="A627">
        <v>2</v>
      </c>
      <c r="B627">
        <v>1</v>
      </c>
      <c r="C627" t="s">
        <v>8</v>
      </c>
      <c r="D627" t="s">
        <v>9</v>
      </c>
      <c r="E627" t="b">
        <v>0</v>
      </c>
      <c r="F627" t="s">
        <v>7</v>
      </c>
    </row>
    <row r="628" spans="1:6" x14ac:dyDescent="0.2">
      <c r="A628">
        <v>2</v>
      </c>
      <c r="B628">
        <v>1</v>
      </c>
      <c r="C628" t="s">
        <v>24</v>
      </c>
      <c r="D628" t="s">
        <v>9</v>
      </c>
      <c r="E628" t="b">
        <v>0</v>
      </c>
      <c r="F628" t="s">
        <v>7</v>
      </c>
    </row>
    <row r="629" spans="1:6" x14ac:dyDescent="0.2">
      <c r="A629">
        <v>2</v>
      </c>
      <c r="B629">
        <v>1</v>
      </c>
      <c r="C629" t="s">
        <v>25</v>
      </c>
      <c r="D629" t="s">
        <v>9</v>
      </c>
      <c r="E629" t="b">
        <v>0</v>
      </c>
      <c r="F629" t="s">
        <v>7</v>
      </c>
    </row>
    <row r="630" spans="1:6" x14ac:dyDescent="0.2">
      <c r="A630">
        <v>2</v>
      </c>
      <c r="B630">
        <v>1</v>
      </c>
      <c r="C630" t="s">
        <v>26</v>
      </c>
      <c r="D630" t="s">
        <v>9</v>
      </c>
      <c r="E630" t="b">
        <v>0</v>
      </c>
      <c r="F630" t="s">
        <v>7</v>
      </c>
    </row>
    <row r="631" spans="1:6" x14ac:dyDescent="0.2">
      <c r="A631">
        <v>2</v>
      </c>
      <c r="B631">
        <v>1</v>
      </c>
      <c r="C631" t="s">
        <v>8</v>
      </c>
      <c r="D631" t="s">
        <v>9</v>
      </c>
      <c r="E631" t="b">
        <v>0</v>
      </c>
      <c r="F631" t="s">
        <v>7</v>
      </c>
    </row>
    <row r="632" spans="1:6" x14ac:dyDescent="0.2">
      <c r="A632">
        <v>2</v>
      </c>
      <c r="B632">
        <v>1</v>
      </c>
      <c r="C632" t="s">
        <v>24</v>
      </c>
      <c r="D632" t="s">
        <v>9</v>
      </c>
      <c r="E632" t="b">
        <v>0</v>
      </c>
      <c r="F632" t="s">
        <v>7</v>
      </c>
    </row>
    <row r="633" spans="1:6" x14ac:dyDescent="0.2">
      <c r="A633">
        <v>2</v>
      </c>
      <c r="B633">
        <v>1</v>
      </c>
      <c r="C633" t="s">
        <v>25</v>
      </c>
      <c r="D633" t="s">
        <v>9</v>
      </c>
      <c r="E633" t="b">
        <v>0</v>
      </c>
      <c r="F633" t="s">
        <v>7</v>
      </c>
    </row>
    <row r="634" spans="1:6" x14ac:dyDescent="0.2">
      <c r="A634">
        <v>2</v>
      </c>
      <c r="B634">
        <v>1</v>
      </c>
      <c r="C634" t="s">
        <v>26</v>
      </c>
      <c r="D634" t="s">
        <v>9</v>
      </c>
      <c r="E634" t="b">
        <v>0</v>
      </c>
      <c r="F634" t="s">
        <v>7</v>
      </c>
    </row>
    <row r="635" spans="1:6" x14ac:dyDescent="0.2">
      <c r="A635">
        <v>2</v>
      </c>
      <c r="B635">
        <v>1</v>
      </c>
      <c r="C635" t="s">
        <v>8</v>
      </c>
      <c r="D635" t="s">
        <v>9</v>
      </c>
      <c r="E635" t="b">
        <v>0</v>
      </c>
      <c r="F635" t="s">
        <v>7</v>
      </c>
    </row>
    <row r="636" spans="1:6" x14ac:dyDescent="0.2">
      <c r="A636">
        <v>2</v>
      </c>
      <c r="B636">
        <v>1</v>
      </c>
      <c r="C636" t="s">
        <v>24</v>
      </c>
      <c r="D636" t="s">
        <v>9</v>
      </c>
      <c r="E636" t="b">
        <v>0</v>
      </c>
      <c r="F636" t="s">
        <v>7</v>
      </c>
    </row>
    <row r="637" spans="1:6" x14ac:dyDescent="0.2">
      <c r="A637">
        <v>2</v>
      </c>
      <c r="B637">
        <v>1</v>
      </c>
      <c r="C637" t="s">
        <v>25</v>
      </c>
      <c r="D637" t="s">
        <v>9</v>
      </c>
      <c r="E637" t="b">
        <v>0</v>
      </c>
      <c r="F637" t="s">
        <v>7</v>
      </c>
    </row>
    <row r="638" spans="1:6" x14ac:dyDescent="0.2">
      <c r="A638">
        <v>2</v>
      </c>
      <c r="B638">
        <v>1</v>
      </c>
      <c r="C638" t="s">
        <v>26</v>
      </c>
      <c r="D638" t="s">
        <v>9</v>
      </c>
      <c r="E638" t="b">
        <v>0</v>
      </c>
      <c r="F638" t="s">
        <v>7</v>
      </c>
    </row>
    <row r="639" spans="1:6" x14ac:dyDescent="0.2">
      <c r="A639">
        <v>2</v>
      </c>
      <c r="B639">
        <v>1</v>
      </c>
      <c r="C639" t="s">
        <v>8</v>
      </c>
      <c r="D639" t="s">
        <v>9</v>
      </c>
      <c r="E639" t="b">
        <v>0</v>
      </c>
      <c r="F639" t="s">
        <v>7</v>
      </c>
    </row>
    <row r="640" spans="1:6" x14ac:dyDescent="0.2">
      <c r="A640">
        <v>2</v>
      </c>
      <c r="B640">
        <v>1</v>
      </c>
      <c r="C640" t="s">
        <v>24</v>
      </c>
      <c r="D640" t="s">
        <v>9</v>
      </c>
      <c r="E640" t="b">
        <v>0</v>
      </c>
      <c r="F640" t="s">
        <v>7</v>
      </c>
    </row>
    <row r="641" spans="1:6" x14ac:dyDescent="0.2">
      <c r="A641">
        <v>2</v>
      </c>
      <c r="B641">
        <v>1</v>
      </c>
      <c r="C641" t="s">
        <v>25</v>
      </c>
      <c r="D641" t="s">
        <v>9</v>
      </c>
      <c r="E641" t="b">
        <v>0</v>
      </c>
      <c r="F641" t="s">
        <v>7</v>
      </c>
    </row>
    <row r="642" spans="1:6" x14ac:dyDescent="0.2">
      <c r="A642">
        <v>2</v>
      </c>
      <c r="B642">
        <v>1</v>
      </c>
      <c r="C642" t="s">
        <v>26</v>
      </c>
      <c r="D642" t="s">
        <v>9</v>
      </c>
      <c r="E642" t="b">
        <v>0</v>
      </c>
      <c r="F642" t="s">
        <v>7</v>
      </c>
    </row>
    <row r="643" spans="1:6" x14ac:dyDescent="0.2">
      <c r="A643">
        <v>2</v>
      </c>
      <c r="B643">
        <v>1</v>
      </c>
      <c r="C643" t="s">
        <v>8</v>
      </c>
      <c r="D643" t="s">
        <v>9</v>
      </c>
      <c r="E643" t="b">
        <v>0</v>
      </c>
      <c r="F643" t="s">
        <v>7</v>
      </c>
    </row>
    <row r="644" spans="1:6" x14ac:dyDescent="0.2">
      <c r="A644">
        <v>2</v>
      </c>
      <c r="B644">
        <v>1</v>
      </c>
      <c r="C644" t="s">
        <v>24</v>
      </c>
      <c r="D644" t="s">
        <v>9</v>
      </c>
      <c r="E644" t="b">
        <v>0</v>
      </c>
      <c r="F644" t="s">
        <v>7</v>
      </c>
    </row>
    <row r="645" spans="1:6" x14ac:dyDescent="0.2">
      <c r="A645">
        <v>2</v>
      </c>
      <c r="B645">
        <v>1</v>
      </c>
      <c r="C645" t="s">
        <v>25</v>
      </c>
      <c r="D645" t="s">
        <v>9</v>
      </c>
      <c r="E645" t="b">
        <v>0</v>
      </c>
      <c r="F645" t="s">
        <v>7</v>
      </c>
    </row>
    <row r="646" spans="1:6" x14ac:dyDescent="0.2">
      <c r="A646">
        <v>2</v>
      </c>
      <c r="B646">
        <v>1</v>
      </c>
      <c r="C646" t="s">
        <v>26</v>
      </c>
      <c r="D646" t="s">
        <v>9</v>
      </c>
      <c r="E646" t="b">
        <v>0</v>
      </c>
      <c r="F646" t="s">
        <v>7</v>
      </c>
    </row>
    <row r="647" spans="1:6" x14ac:dyDescent="0.2">
      <c r="A647">
        <v>2</v>
      </c>
      <c r="B647">
        <v>1</v>
      </c>
      <c r="C647" t="s">
        <v>8</v>
      </c>
      <c r="D647" t="s">
        <v>9</v>
      </c>
      <c r="E647" t="b">
        <v>0</v>
      </c>
      <c r="F647" t="s">
        <v>7</v>
      </c>
    </row>
    <row r="648" spans="1:6" x14ac:dyDescent="0.2">
      <c r="A648">
        <v>2</v>
      </c>
      <c r="B648">
        <v>1</v>
      </c>
      <c r="C648" t="s">
        <v>24</v>
      </c>
      <c r="D648" t="s">
        <v>9</v>
      </c>
      <c r="E648" t="b">
        <v>0</v>
      </c>
      <c r="F648" t="s">
        <v>7</v>
      </c>
    </row>
    <row r="649" spans="1:6" x14ac:dyDescent="0.2">
      <c r="A649">
        <v>2</v>
      </c>
      <c r="B649">
        <v>1</v>
      </c>
      <c r="C649" t="s">
        <v>25</v>
      </c>
      <c r="D649" t="s">
        <v>9</v>
      </c>
      <c r="E649" t="b">
        <v>0</v>
      </c>
      <c r="F649" t="s">
        <v>7</v>
      </c>
    </row>
    <row r="650" spans="1:6" x14ac:dyDescent="0.2">
      <c r="A650">
        <v>2</v>
      </c>
      <c r="B650">
        <v>1</v>
      </c>
      <c r="C650" t="s">
        <v>26</v>
      </c>
      <c r="D650" t="s">
        <v>9</v>
      </c>
      <c r="E650" t="b">
        <v>0</v>
      </c>
      <c r="F650" t="s">
        <v>7</v>
      </c>
    </row>
    <row r="651" spans="1:6" x14ac:dyDescent="0.2">
      <c r="A651">
        <v>2</v>
      </c>
      <c r="B651">
        <v>1</v>
      </c>
      <c r="C651" t="s">
        <v>8</v>
      </c>
      <c r="D651" t="s">
        <v>9</v>
      </c>
      <c r="E651" t="b">
        <v>0</v>
      </c>
      <c r="F651" t="s">
        <v>7</v>
      </c>
    </row>
    <row r="652" spans="1:6" x14ac:dyDescent="0.2">
      <c r="A652">
        <v>2</v>
      </c>
      <c r="B652">
        <v>1</v>
      </c>
      <c r="C652" t="s">
        <v>8</v>
      </c>
      <c r="D652" t="s">
        <v>9</v>
      </c>
      <c r="E652" t="b">
        <v>0</v>
      </c>
      <c r="F652" t="s">
        <v>7</v>
      </c>
    </row>
    <row r="653" spans="1:6" x14ac:dyDescent="0.2">
      <c r="A653">
        <v>2</v>
      </c>
      <c r="B653">
        <v>1</v>
      </c>
      <c r="C653" t="s">
        <v>24</v>
      </c>
      <c r="D653" t="s">
        <v>9</v>
      </c>
      <c r="E653" t="b">
        <v>0</v>
      </c>
      <c r="F653" t="s">
        <v>7</v>
      </c>
    </row>
    <row r="654" spans="1:6" x14ac:dyDescent="0.2">
      <c r="A654">
        <v>2</v>
      </c>
      <c r="B654">
        <v>1</v>
      </c>
      <c r="C654" t="s">
        <v>25</v>
      </c>
      <c r="D654" t="s">
        <v>9</v>
      </c>
      <c r="E654" t="b">
        <v>0</v>
      </c>
      <c r="F654" t="s">
        <v>7</v>
      </c>
    </row>
    <row r="655" spans="1:6" x14ac:dyDescent="0.2">
      <c r="A655">
        <v>2</v>
      </c>
      <c r="B655">
        <v>1</v>
      </c>
      <c r="C655" t="s">
        <v>26</v>
      </c>
      <c r="D655" t="s">
        <v>9</v>
      </c>
      <c r="E655" t="b">
        <v>0</v>
      </c>
      <c r="F655" t="s">
        <v>7</v>
      </c>
    </row>
    <row r="656" spans="1:6" x14ac:dyDescent="0.2">
      <c r="A656">
        <v>2</v>
      </c>
      <c r="B656">
        <v>1</v>
      </c>
      <c r="C656" t="s">
        <v>8</v>
      </c>
      <c r="D656" t="s">
        <v>9</v>
      </c>
      <c r="E656" t="b">
        <v>0</v>
      </c>
      <c r="F656" t="s">
        <v>7</v>
      </c>
    </row>
    <row r="657" spans="1:6" x14ac:dyDescent="0.2">
      <c r="A657">
        <v>2</v>
      </c>
      <c r="B657">
        <v>1</v>
      </c>
      <c r="C657" t="s">
        <v>24</v>
      </c>
      <c r="D657" t="s">
        <v>9</v>
      </c>
      <c r="E657" t="b">
        <v>0</v>
      </c>
      <c r="F657" t="s">
        <v>7</v>
      </c>
    </row>
    <row r="658" spans="1:6" x14ac:dyDescent="0.2">
      <c r="A658">
        <v>2</v>
      </c>
      <c r="B658">
        <v>1</v>
      </c>
      <c r="C658" t="s">
        <v>25</v>
      </c>
      <c r="D658" t="s">
        <v>9</v>
      </c>
      <c r="E658" t="b">
        <v>0</v>
      </c>
      <c r="F658" t="s">
        <v>7</v>
      </c>
    </row>
    <row r="659" spans="1:6" x14ac:dyDescent="0.2">
      <c r="A659">
        <v>2</v>
      </c>
      <c r="B659">
        <v>1</v>
      </c>
      <c r="C659" t="s">
        <v>26</v>
      </c>
      <c r="D659" t="s">
        <v>9</v>
      </c>
      <c r="E659" t="b">
        <v>0</v>
      </c>
      <c r="F659" t="s">
        <v>7</v>
      </c>
    </row>
    <row r="660" spans="1:6" x14ac:dyDescent="0.2">
      <c r="A660">
        <v>2</v>
      </c>
      <c r="B660">
        <v>1</v>
      </c>
      <c r="C660" t="s">
        <v>8</v>
      </c>
      <c r="D660" t="s">
        <v>9</v>
      </c>
      <c r="E660" t="b">
        <v>0</v>
      </c>
      <c r="F660" t="s">
        <v>7</v>
      </c>
    </row>
    <row r="661" spans="1:6" x14ac:dyDescent="0.2">
      <c r="A661">
        <v>2</v>
      </c>
      <c r="B661">
        <v>1</v>
      </c>
      <c r="C661" t="s">
        <v>24</v>
      </c>
      <c r="D661" t="s">
        <v>9</v>
      </c>
      <c r="E661" t="b">
        <v>0</v>
      </c>
      <c r="F661" t="s">
        <v>7</v>
      </c>
    </row>
    <row r="662" spans="1:6" x14ac:dyDescent="0.2">
      <c r="A662">
        <v>2</v>
      </c>
      <c r="B662">
        <v>1</v>
      </c>
      <c r="C662" t="s">
        <v>25</v>
      </c>
      <c r="D662" t="s">
        <v>9</v>
      </c>
      <c r="E662" t="b">
        <v>0</v>
      </c>
      <c r="F662" t="s">
        <v>7</v>
      </c>
    </row>
    <row r="663" spans="1:6" x14ac:dyDescent="0.2">
      <c r="A663">
        <v>2</v>
      </c>
      <c r="B663">
        <v>1</v>
      </c>
      <c r="C663" t="s">
        <v>26</v>
      </c>
      <c r="D663" t="s">
        <v>9</v>
      </c>
      <c r="E663" t="b">
        <v>0</v>
      </c>
      <c r="F663" t="s">
        <v>7</v>
      </c>
    </row>
    <row r="664" spans="1:6" x14ac:dyDescent="0.2">
      <c r="A664">
        <v>2</v>
      </c>
      <c r="B664">
        <v>1</v>
      </c>
      <c r="C664" t="s">
        <v>8</v>
      </c>
      <c r="D664" t="s">
        <v>9</v>
      </c>
      <c r="E664" t="b">
        <v>0</v>
      </c>
      <c r="F664" t="s">
        <v>7</v>
      </c>
    </row>
    <row r="665" spans="1:6" x14ac:dyDescent="0.2">
      <c r="A665">
        <v>2</v>
      </c>
      <c r="B665">
        <v>1</v>
      </c>
      <c r="C665" t="s">
        <v>24</v>
      </c>
      <c r="D665" t="s">
        <v>9</v>
      </c>
      <c r="E665" t="b">
        <v>0</v>
      </c>
      <c r="F665" t="s">
        <v>7</v>
      </c>
    </row>
    <row r="666" spans="1:6" x14ac:dyDescent="0.2">
      <c r="A666">
        <v>2</v>
      </c>
      <c r="B666">
        <v>1</v>
      </c>
      <c r="C666" t="s">
        <v>25</v>
      </c>
      <c r="D666" t="s">
        <v>9</v>
      </c>
      <c r="E666" t="b">
        <v>0</v>
      </c>
      <c r="F666" t="s">
        <v>7</v>
      </c>
    </row>
    <row r="667" spans="1:6" x14ac:dyDescent="0.2">
      <c r="A667">
        <v>2</v>
      </c>
      <c r="B667">
        <v>1</v>
      </c>
      <c r="C667" t="s">
        <v>26</v>
      </c>
      <c r="D667" t="s">
        <v>9</v>
      </c>
      <c r="E667" t="b">
        <v>0</v>
      </c>
      <c r="F667" t="s">
        <v>7</v>
      </c>
    </row>
    <row r="668" spans="1:6" x14ac:dyDescent="0.2">
      <c r="A668">
        <v>2</v>
      </c>
      <c r="B668">
        <v>1</v>
      </c>
      <c r="C668" t="s">
        <v>8</v>
      </c>
      <c r="D668" t="s">
        <v>9</v>
      </c>
      <c r="E668" t="b">
        <v>0</v>
      </c>
      <c r="F668" t="s">
        <v>7</v>
      </c>
    </row>
    <row r="669" spans="1:6" x14ac:dyDescent="0.2">
      <c r="A669">
        <v>2</v>
      </c>
      <c r="B669">
        <v>1</v>
      </c>
      <c r="C669" t="s">
        <v>24</v>
      </c>
      <c r="D669" t="s">
        <v>9</v>
      </c>
      <c r="E669" t="b">
        <v>0</v>
      </c>
      <c r="F669" t="s">
        <v>7</v>
      </c>
    </row>
    <row r="670" spans="1:6" x14ac:dyDescent="0.2">
      <c r="A670">
        <v>2</v>
      </c>
      <c r="B670">
        <v>1</v>
      </c>
      <c r="C670" t="s">
        <v>25</v>
      </c>
      <c r="D670" t="s">
        <v>9</v>
      </c>
      <c r="E670" t="b">
        <v>0</v>
      </c>
      <c r="F670" t="s">
        <v>7</v>
      </c>
    </row>
    <row r="671" spans="1:6" x14ac:dyDescent="0.2">
      <c r="A671">
        <v>2</v>
      </c>
      <c r="B671">
        <v>1</v>
      </c>
      <c r="C671" t="s">
        <v>26</v>
      </c>
      <c r="D671" t="s">
        <v>9</v>
      </c>
      <c r="E671" t="b">
        <v>0</v>
      </c>
      <c r="F671" t="s">
        <v>7</v>
      </c>
    </row>
    <row r="672" spans="1:6" x14ac:dyDescent="0.2">
      <c r="A672">
        <v>2</v>
      </c>
      <c r="B672">
        <v>1</v>
      </c>
      <c r="C672" t="s">
        <v>8</v>
      </c>
      <c r="D672" t="s">
        <v>9</v>
      </c>
      <c r="E672" t="b">
        <v>0</v>
      </c>
      <c r="F672" t="s">
        <v>7</v>
      </c>
    </row>
    <row r="673" spans="1:6" x14ac:dyDescent="0.2">
      <c r="A673">
        <v>2</v>
      </c>
      <c r="B673">
        <v>1</v>
      </c>
      <c r="C673" t="s">
        <v>24</v>
      </c>
      <c r="D673" t="s">
        <v>9</v>
      </c>
      <c r="E673" t="b">
        <v>0</v>
      </c>
      <c r="F673" t="s">
        <v>7</v>
      </c>
    </row>
    <row r="674" spans="1:6" x14ac:dyDescent="0.2">
      <c r="A674">
        <v>2</v>
      </c>
      <c r="B674">
        <v>1</v>
      </c>
      <c r="C674" t="s">
        <v>25</v>
      </c>
      <c r="D674" t="s">
        <v>9</v>
      </c>
      <c r="E674" t="b">
        <v>0</v>
      </c>
      <c r="F674" t="s">
        <v>7</v>
      </c>
    </row>
    <row r="675" spans="1:6" x14ac:dyDescent="0.2">
      <c r="A675">
        <v>2</v>
      </c>
      <c r="B675">
        <v>1</v>
      </c>
      <c r="C675" t="s">
        <v>26</v>
      </c>
      <c r="D675" t="s">
        <v>9</v>
      </c>
      <c r="E675" t="b">
        <v>0</v>
      </c>
      <c r="F675" t="s">
        <v>7</v>
      </c>
    </row>
    <row r="676" spans="1:6" x14ac:dyDescent="0.2">
      <c r="A676">
        <v>2</v>
      </c>
      <c r="B676">
        <v>1</v>
      </c>
      <c r="C676" t="s">
        <v>8</v>
      </c>
      <c r="D676" t="s">
        <v>9</v>
      </c>
      <c r="E676" t="b">
        <v>0</v>
      </c>
      <c r="F676" t="s">
        <v>7</v>
      </c>
    </row>
    <row r="677" spans="1:6" x14ac:dyDescent="0.2">
      <c r="A677">
        <v>2</v>
      </c>
      <c r="B677">
        <v>1</v>
      </c>
      <c r="C677" t="s">
        <v>24</v>
      </c>
      <c r="D677" t="s">
        <v>9</v>
      </c>
      <c r="E677" t="b">
        <v>0</v>
      </c>
      <c r="F677" t="s">
        <v>7</v>
      </c>
    </row>
    <row r="678" spans="1:6" x14ac:dyDescent="0.2">
      <c r="A678">
        <v>2</v>
      </c>
      <c r="B678">
        <v>1</v>
      </c>
      <c r="C678" t="s">
        <v>25</v>
      </c>
      <c r="D678" t="s">
        <v>9</v>
      </c>
      <c r="E678" t="b">
        <v>0</v>
      </c>
      <c r="F678" t="s">
        <v>7</v>
      </c>
    </row>
    <row r="679" spans="1:6" x14ac:dyDescent="0.2">
      <c r="A679">
        <v>2</v>
      </c>
      <c r="B679">
        <v>1</v>
      </c>
      <c r="C679" t="s">
        <v>26</v>
      </c>
      <c r="D679" t="s">
        <v>9</v>
      </c>
      <c r="E679" t="b">
        <v>0</v>
      </c>
      <c r="F679" t="s">
        <v>7</v>
      </c>
    </row>
    <row r="680" spans="1:6" x14ac:dyDescent="0.2">
      <c r="A680">
        <v>2</v>
      </c>
      <c r="B680">
        <v>1</v>
      </c>
      <c r="C680" t="s">
        <v>8</v>
      </c>
      <c r="D680" t="s">
        <v>9</v>
      </c>
      <c r="E680" t="b">
        <v>0</v>
      </c>
      <c r="F680" t="s">
        <v>7</v>
      </c>
    </row>
    <row r="681" spans="1:6" x14ac:dyDescent="0.2">
      <c r="A681">
        <v>2</v>
      </c>
      <c r="B681">
        <v>1</v>
      </c>
      <c r="C681" t="s">
        <v>24</v>
      </c>
      <c r="D681" t="s">
        <v>9</v>
      </c>
      <c r="E681" t="b">
        <v>0</v>
      </c>
      <c r="F681" t="s">
        <v>7</v>
      </c>
    </row>
    <row r="682" spans="1:6" x14ac:dyDescent="0.2">
      <c r="A682">
        <v>2</v>
      </c>
      <c r="B682">
        <v>1</v>
      </c>
      <c r="C682" t="s">
        <v>25</v>
      </c>
      <c r="D682" t="s">
        <v>9</v>
      </c>
      <c r="E682" t="b">
        <v>0</v>
      </c>
      <c r="F682" t="s">
        <v>7</v>
      </c>
    </row>
    <row r="683" spans="1:6" x14ac:dyDescent="0.2">
      <c r="A683">
        <v>2</v>
      </c>
      <c r="B683">
        <v>1</v>
      </c>
      <c r="C683" t="s">
        <v>26</v>
      </c>
      <c r="D683" t="s">
        <v>9</v>
      </c>
      <c r="E683" t="b">
        <v>0</v>
      </c>
      <c r="F683" t="s">
        <v>7</v>
      </c>
    </row>
    <row r="684" spans="1:6" x14ac:dyDescent="0.2">
      <c r="A684">
        <v>2</v>
      </c>
      <c r="B684">
        <v>1</v>
      </c>
      <c r="C684" t="s">
        <v>8</v>
      </c>
      <c r="D684" t="s">
        <v>9</v>
      </c>
      <c r="E684" t="b">
        <v>0</v>
      </c>
      <c r="F684" t="s">
        <v>7</v>
      </c>
    </row>
    <row r="685" spans="1:6" x14ac:dyDescent="0.2">
      <c r="A685">
        <v>2</v>
      </c>
      <c r="B685">
        <v>1</v>
      </c>
      <c r="C685" t="s">
        <v>24</v>
      </c>
      <c r="D685" t="s">
        <v>9</v>
      </c>
      <c r="E685" t="b">
        <v>0</v>
      </c>
      <c r="F685" t="s">
        <v>7</v>
      </c>
    </row>
    <row r="686" spans="1:6" x14ac:dyDescent="0.2">
      <c r="A686">
        <v>2</v>
      </c>
      <c r="B686">
        <v>1</v>
      </c>
      <c r="C686" t="s">
        <v>25</v>
      </c>
      <c r="D686" t="s">
        <v>9</v>
      </c>
      <c r="E686" t="b">
        <v>0</v>
      </c>
      <c r="F686" t="s">
        <v>7</v>
      </c>
    </row>
    <row r="687" spans="1:6" x14ac:dyDescent="0.2">
      <c r="A687">
        <v>2</v>
      </c>
      <c r="B687">
        <v>1</v>
      </c>
      <c r="C687" t="s">
        <v>26</v>
      </c>
      <c r="D687" t="s">
        <v>9</v>
      </c>
      <c r="E687" t="b">
        <v>0</v>
      </c>
      <c r="F687" t="s">
        <v>7</v>
      </c>
    </row>
    <row r="688" spans="1:6" x14ac:dyDescent="0.2">
      <c r="A688">
        <v>2</v>
      </c>
      <c r="B688">
        <v>1</v>
      </c>
      <c r="C688" t="s">
        <v>8</v>
      </c>
      <c r="D688" t="s">
        <v>9</v>
      </c>
      <c r="E688" t="b">
        <v>0</v>
      </c>
      <c r="F688" t="s">
        <v>7</v>
      </c>
    </row>
    <row r="689" spans="1:6" x14ac:dyDescent="0.2">
      <c r="A689">
        <v>2</v>
      </c>
      <c r="B689">
        <v>1</v>
      </c>
      <c r="C689" t="s">
        <v>24</v>
      </c>
      <c r="D689" t="s">
        <v>9</v>
      </c>
      <c r="E689" t="b">
        <v>0</v>
      </c>
      <c r="F689" t="s">
        <v>7</v>
      </c>
    </row>
    <row r="690" spans="1:6" x14ac:dyDescent="0.2">
      <c r="A690">
        <v>2</v>
      </c>
      <c r="B690">
        <v>1</v>
      </c>
      <c r="C690" t="s">
        <v>25</v>
      </c>
      <c r="D690" t="s">
        <v>9</v>
      </c>
      <c r="E690" t="b">
        <v>0</v>
      </c>
      <c r="F690" t="s">
        <v>7</v>
      </c>
    </row>
    <row r="691" spans="1:6" x14ac:dyDescent="0.2">
      <c r="A691">
        <v>2</v>
      </c>
      <c r="B691">
        <v>1</v>
      </c>
      <c r="C691" t="s">
        <v>26</v>
      </c>
      <c r="D691" t="s">
        <v>9</v>
      </c>
      <c r="E691" t="b">
        <v>0</v>
      </c>
      <c r="F691" t="s">
        <v>7</v>
      </c>
    </row>
    <row r="692" spans="1:6" x14ac:dyDescent="0.2">
      <c r="A692">
        <v>2</v>
      </c>
      <c r="B692">
        <v>1</v>
      </c>
      <c r="C692" t="s">
        <v>8</v>
      </c>
      <c r="D692" t="s">
        <v>9</v>
      </c>
      <c r="E692" t="b">
        <v>0</v>
      </c>
      <c r="F692" t="s">
        <v>7</v>
      </c>
    </row>
    <row r="693" spans="1:6" x14ac:dyDescent="0.2">
      <c r="A693">
        <v>2</v>
      </c>
      <c r="B693">
        <v>1</v>
      </c>
      <c r="C693" t="s">
        <v>24</v>
      </c>
      <c r="D693" t="s">
        <v>9</v>
      </c>
      <c r="E693" t="b">
        <v>0</v>
      </c>
      <c r="F693" t="s">
        <v>7</v>
      </c>
    </row>
    <row r="694" spans="1:6" x14ac:dyDescent="0.2">
      <c r="A694">
        <v>2</v>
      </c>
      <c r="B694">
        <v>1</v>
      </c>
      <c r="C694" t="s">
        <v>26</v>
      </c>
      <c r="D694" t="s">
        <v>9</v>
      </c>
      <c r="E694" t="b">
        <v>0</v>
      </c>
      <c r="F694" t="s">
        <v>7</v>
      </c>
    </row>
    <row r="695" spans="1:6" x14ac:dyDescent="0.2">
      <c r="A695">
        <v>2</v>
      </c>
      <c r="B695">
        <v>1</v>
      </c>
      <c r="C695" t="s">
        <v>8</v>
      </c>
      <c r="D695" t="s">
        <v>9</v>
      </c>
      <c r="E695" t="b">
        <v>0</v>
      </c>
      <c r="F695" t="s">
        <v>7</v>
      </c>
    </row>
    <row r="696" spans="1:6" x14ac:dyDescent="0.2">
      <c r="A696">
        <v>2</v>
      </c>
      <c r="B696">
        <v>1</v>
      </c>
      <c r="C696" t="s">
        <v>24</v>
      </c>
      <c r="D696" t="s">
        <v>9</v>
      </c>
      <c r="E696" t="b">
        <v>0</v>
      </c>
      <c r="F696" t="s">
        <v>7</v>
      </c>
    </row>
    <row r="697" spans="1:6" x14ac:dyDescent="0.2">
      <c r="A697">
        <v>2</v>
      </c>
      <c r="B697">
        <v>1</v>
      </c>
      <c r="C697" t="s">
        <v>25</v>
      </c>
      <c r="D697" t="s">
        <v>9</v>
      </c>
      <c r="E697" t="b">
        <v>0</v>
      </c>
      <c r="F697" t="s">
        <v>7</v>
      </c>
    </row>
    <row r="698" spans="1:6" x14ac:dyDescent="0.2">
      <c r="A698">
        <v>2</v>
      </c>
      <c r="B698">
        <v>1</v>
      </c>
      <c r="C698" t="s">
        <v>26</v>
      </c>
      <c r="D698" t="s">
        <v>9</v>
      </c>
      <c r="E698" t="b">
        <v>0</v>
      </c>
      <c r="F698" t="s">
        <v>7</v>
      </c>
    </row>
    <row r="699" spans="1:6" x14ac:dyDescent="0.2">
      <c r="A699">
        <v>2</v>
      </c>
      <c r="B699">
        <v>1</v>
      </c>
      <c r="C699" t="s">
        <v>8</v>
      </c>
      <c r="D699" t="s">
        <v>9</v>
      </c>
      <c r="E699" t="b">
        <v>0</v>
      </c>
      <c r="F699" t="s">
        <v>7</v>
      </c>
    </row>
    <row r="700" spans="1:6" x14ac:dyDescent="0.2">
      <c r="A700">
        <v>2</v>
      </c>
      <c r="B700">
        <v>1</v>
      </c>
      <c r="C700" t="s">
        <v>24</v>
      </c>
      <c r="D700" t="s">
        <v>9</v>
      </c>
      <c r="E700" t="b">
        <v>0</v>
      </c>
      <c r="F700" t="s">
        <v>7</v>
      </c>
    </row>
    <row r="701" spans="1:6" x14ac:dyDescent="0.2">
      <c r="A701">
        <v>2</v>
      </c>
      <c r="B701">
        <v>1</v>
      </c>
      <c r="C701" t="s">
        <v>25</v>
      </c>
      <c r="D701" t="s">
        <v>9</v>
      </c>
      <c r="E701" t="b">
        <v>0</v>
      </c>
      <c r="F701" t="s">
        <v>7</v>
      </c>
    </row>
    <row r="702" spans="1:6" x14ac:dyDescent="0.2">
      <c r="A702">
        <v>2</v>
      </c>
      <c r="B702">
        <v>1</v>
      </c>
      <c r="C702" t="s">
        <v>26</v>
      </c>
      <c r="D702" t="s">
        <v>9</v>
      </c>
      <c r="E702" t="b">
        <v>0</v>
      </c>
      <c r="F702" t="s">
        <v>7</v>
      </c>
    </row>
    <row r="703" spans="1:6" x14ac:dyDescent="0.2">
      <c r="A703">
        <v>2</v>
      </c>
      <c r="B703">
        <v>1</v>
      </c>
      <c r="C703" t="s">
        <v>8</v>
      </c>
      <c r="D703" t="s">
        <v>9</v>
      </c>
      <c r="E703" t="b">
        <v>0</v>
      </c>
      <c r="F703" t="s">
        <v>7</v>
      </c>
    </row>
    <row r="704" spans="1:6" x14ac:dyDescent="0.2">
      <c r="A704">
        <v>2</v>
      </c>
      <c r="B704">
        <v>1</v>
      </c>
      <c r="C704" t="s">
        <v>24</v>
      </c>
      <c r="D704" t="s">
        <v>9</v>
      </c>
      <c r="E704" t="b">
        <v>0</v>
      </c>
      <c r="F704" t="s">
        <v>7</v>
      </c>
    </row>
    <row r="705" spans="1:6" x14ac:dyDescent="0.2">
      <c r="A705">
        <v>2</v>
      </c>
      <c r="B705">
        <v>1</v>
      </c>
      <c r="C705" t="s">
        <v>25</v>
      </c>
      <c r="D705" t="s">
        <v>9</v>
      </c>
      <c r="E705" t="b">
        <v>0</v>
      </c>
      <c r="F705" t="s">
        <v>7</v>
      </c>
    </row>
    <row r="706" spans="1:6" x14ac:dyDescent="0.2">
      <c r="A706">
        <v>2</v>
      </c>
      <c r="B706">
        <v>1</v>
      </c>
      <c r="C706" t="s">
        <v>26</v>
      </c>
      <c r="D706" t="s">
        <v>9</v>
      </c>
      <c r="E706" t="b">
        <v>0</v>
      </c>
      <c r="F706" t="s">
        <v>7</v>
      </c>
    </row>
    <row r="707" spans="1:6" x14ac:dyDescent="0.2">
      <c r="A707">
        <v>2</v>
      </c>
      <c r="B707">
        <v>1</v>
      </c>
      <c r="C707" t="s">
        <v>8</v>
      </c>
      <c r="D707" t="s">
        <v>9</v>
      </c>
      <c r="E707" t="b">
        <v>0</v>
      </c>
      <c r="F707" t="s">
        <v>7</v>
      </c>
    </row>
    <row r="708" spans="1:6" x14ac:dyDescent="0.2">
      <c r="A708">
        <v>2</v>
      </c>
      <c r="B708">
        <v>1</v>
      </c>
      <c r="C708" t="s">
        <v>24</v>
      </c>
      <c r="D708" t="s">
        <v>9</v>
      </c>
      <c r="E708" t="b">
        <v>0</v>
      </c>
      <c r="F708" t="s">
        <v>7</v>
      </c>
    </row>
    <row r="709" spans="1:6" x14ac:dyDescent="0.2">
      <c r="A709">
        <v>2</v>
      </c>
      <c r="B709">
        <v>1</v>
      </c>
      <c r="C709" t="s">
        <v>25</v>
      </c>
      <c r="D709" t="s">
        <v>9</v>
      </c>
      <c r="E709" t="b">
        <v>0</v>
      </c>
      <c r="F709" t="s">
        <v>7</v>
      </c>
    </row>
    <row r="710" spans="1:6" x14ac:dyDescent="0.2">
      <c r="A710">
        <v>2</v>
      </c>
      <c r="B710">
        <v>1</v>
      </c>
      <c r="C710" t="s">
        <v>26</v>
      </c>
      <c r="D710" t="s">
        <v>9</v>
      </c>
      <c r="E710" t="b">
        <v>0</v>
      </c>
      <c r="F710" t="s">
        <v>7</v>
      </c>
    </row>
    <row r="711" spans="1:6" x14ac:dyDescent="0.2">
      <c r="A711">
        <v>2</v>
      </c>
      <c r="B711">
        <v>1</v>
      </c>
      <c r="C711" t="s">
        <v>8</v>
      </c>
      <c r="D711" t="s">
        <v>9</v>
      </c>
      <c r="E711" t="b">
        <v>0</v>
      </c>
      <c r="F711" t="s">
        <v>7</v>
      </c>
    </row>
    <row r="712" spans="1:6" x14ac:dyDescent="0.2">
      <c r="A712">
        <v>2</v>
      </c>
      <c r="B712">
        <v>1</v>
      </c>
      <c r="C712" t="s">
        <v>24</v>
      </c>
      <c r="D712" t="s">
        <v>9</v>
      </c>
      <c r="E712" t="b">
        <v>0</v>
      </c>
      <c r="F712" t="s">
        <v>7</v>
      </c>
    </row>
    <row r="713" spans="1:6" x14ac:dyDescent="0.2">
      <c r="A713">
        <v>2</v>
      </c>
      <c r="B713">
        <v>1</v>
      </c>
      <c r="C713" t="s">
        <v>25</v>
      </c>
      <c r="D713" t="s">
        <v>9</v>
      </c>
      <c r="E713" t="b">
        <v>0</v>
      </c>
      <c r="F713" t="s">
        <v>7</v>
      </c>
    </row>
    <row r="714" spans="1:6" x14ac:dyDescent="0.2">
      <c r="A714">
        <v>2</v>
      </c>
      <c r="B714">
        <v>1</v>
      </c>
      <c r="C714" t="s">
        <v>26</v>
      </c>
      <c r="D714" t="s">
        <v>9</v>
      </c>
      <c r="E714" t="b">
        <v>0</v>
      </c>
      <c r="F714" t="s">
        <v>7</v>
      </c>
    </row>
    <row r="715" spans="1:6" x14ac:dyDescent="0.2">
      <c r="A715">
        <v>2</v>
      </c>
      <c r="B715">
        <v>1</v>
      </c>
      <c r="C715" t="s">
        <v>8</v>
      </c>
      <c r="D715" t="s">
        <v>9</v>
      </c>
      <c r="E715" t="b">
        <v>0</v>
      </c>
      <c r="F715" t="s">
        <v>7</v>
      </c>
    </row>
    <row r="716" spans="1:6" x14ac:dyDescent="0.2">
      <c r="A716">
        <v>2</v>
      </c>
      <c r="B716">
        <v>1</v>
      </c>
      <c r="C716" t="s">
        <v>8</v>
      </c>
      <c r="D716" t="s">
        <v>9</v>
      </c>
      <c r="E716" t="b">
        <v>0</v>
      </c>
      <c r="F716" t="s">
        <v>7</v>
      </c>
    </row>
    <row r="717" spans="1:6" x14ac:dyDescent="0.2">
      <c r="A717">
        <v>2</v>
      </c>
      <c r="B717">
        <v>1</v>
      </c>
      <c r="C717" t="s">
        <v>24</v>
      </c>
      <c r="D717" t="s">
        <v>9</v>
      </c>
      <c r="E717" t="b">
        <v>0</v>
      </c>
      <c r="F717" t="s">
        <v>7</v>
      </c>
    </row>
    <row r="718" spans="1:6" x14ac:dyDescent="0.2">
      <c r="A718">
        <v>2</v>
      </c>
      <c r="B718">
        <v>1</v>
      </c>
      <c r="C718" t="s">
        <v>25</v>
      </c>
      <c r="D718" t="s">
        <v>9</v>
      </c>
      <c r="E718" t="b">
        <v>0</v>
      </c>
      <c r="F718" t="s">
        <v>7</v>
      </c>
    </row>
    <row r="719" spans="1:6" x14ac:dyDescent="0.2">
      <c r="A719">
        <v>2</v>
      </c>
      <c r="B719">
        <v>1</v>
      </c>
      <c r="C719" t="s">
        <v>26</v>
      </c>
      <c r="D719" t="s">
        <v>9</v>
      </c>
      <c r="E719" t="b">
        <v>0</v>
      </c>
      <c r="F719" t="s">
        <v>7</v>
      </c>
    </row>
    <row r="720" spans="1:6" x14ac:dyDescent="0.2">
      <c r="A720">
        <v>2</v>
      </c>
      <c r="B720">
        <v>1</v>
      </c>
      <c r="C720" t="s">
        <v>8</v>
      </c>
      <c r="D720" t="s">
        <v>9</v>
      </c>
      <c r="E720" t="b">
        <v>0</v>
      </c>
      <c r="F720" t="s">
        <v>7</v>
      </c>
    </row>
    <row r="721" spans="1:6" x14ac:dyDescent="0.2">
      <c r="A721">
        <v>2</v>
      </c>
      <c r="B721">
        <v>1</v>
      </c>
      <c r="C721" t="s">
        <v>24</v>
      </c>
      <c r="D721" t="s">
        <v>9</v>
      </c>
      <c r="E721" t="b">
        <v>0</v>
      </c>
      <c r="F721" t="s">
        <v>7</v>
      </c>
    </row>
    <row r="722" spans="1:6" x14ac:dyDescent="0.2">
      <c r="A722">
        <v>2</v>
      </c>
      <c r="B722">
        <v>1</v>
      </c>
      <c r="C722" t="s">
        <v>25</v>
      </c>
      <c r="D722" t="s">
        <v>9</v>
      </c>
      <c r="E722" t="b">
        <v>0</v>
      </c>
      <c r="F722" t="s">
        <v>7</v>
      </c>
    </row>
    <row r="723" spans="1:6" x14ac:dyDescent="0.2">
      <c r="A723">
        <v>2</v>
      </c>
      <c r="B723">
        <v>1</v>
      </c>
      <c r="C723" t="s">
        <v>26</v>
      </c>
      <c r="D723" t="s">
        <v>9</v>
      </c>
      <c r="E723" t="b">
        <v>0</v>
      </c>
      <c r="F723" t="s">
        <v>7</v>
      </c>
    </row>
    <row r="724" spans="1:6" x14ac:dyDescent="0.2">
      <c r="A724">
        <v>2</v>
      </c>
      <c r="B724">
        <v>1</v>
      </c>
      <c r="C724" t="s">
        <v>8</v>
      </c>
      <c r="D724" t="s">
        <v>9</v>
      </c>
      <c r="E724" t="b">
        <v>0</v>
      </c>
      <c r="F724" t="s">
        <v>7</v>
      </c>
    </row>
    <row r="725" spans="1:6" x14ac:dyDescent="0.2">
      <c r="A725">
        <v>2</v>
      </c>
      <c r="B725">
        <v>1</v>
      </c>
      <c r="C725" t="s">
        <v>24</v>
      </c>
      <c r="D725" t="s">
        <v>9</v>
      </c>
      <c r="E725" t="b">
        <v>0</v>
      </c>
      <c r="F725" t="s">
        <v>7</v>
      </c>
    </row>
    <row r="726" spans="1:6" x14ac:dyDescent="0.2">
      <c r="A726">
        <v>2</v>
      </c>
      <c r="B726">
        <v>1</v>
      </c>
      <c r="C726" t="s">
        <v>25</v>
      </c>
      <c r="D726" t="s">
        <v>9</v>
      </c>
      <c r="E726" t="b">
        <v>0</v>
      </c>
      <c r="F726" t="s">
        <v>7</v>
      </c>
    </row>
    <row r="727" spans="1:6" x14ac:dyDescent="0.2">
      <c r="A727">
        <v>2</v>
      </c>
      <c r="B727">
        <v>1</v>
      </c>
      <c r="C727" t="s">
        <v>26</v>
      </c>
      <c r="D727" t="s">
        <v>9</v>
      </c>
      <c r="E727" t="b">
        <v>0</v>
      </c>
      <c r="F727" t="s">
        <v>7</v>
      </c>
    </row>
    <row r="728" spans="1:6" x14ac:dyDescent="0.2">
      <c r="A728">
        <v>2</v>
      </c>
      <c r="B728">
        <v>1</v>
      </c>
      <c r="C728" t="s">
        <v>8</v>
      </c>
      <c r="D728" t="s">
        <v>9</v>
      </c>
      <c r="E728" t="b">
        <v>0</v>
      </c>
      <c r="F728" t="s">
        <v>7</v>
      </c>
    </row>
    <row r="729" spans="1:6" x14ac:dyDescent="0.2">
      <c r="A729">
        <v>2</v>
      </c>
      <c r="B729">
        <v>1</v>
      </c>
      <c r="C729" t="s">
        <v>24</v>
      </c>
      <c r="D729" t="s">
        <v>9</v>
      </c>
      <c r="E729" t="b">
        <v>0</v>
      </c>
      <c r="F729" t="s">
        <v>7</v>
      </c>
    </row>
    <row r="730" spans="1:6" x14ac:dyDescent="0.2">
      <c r="A730">
        <v>2</v>
      </c>
      <c r="B730">
        <v>1</v>
      </c>
      <c r="C730" t="s">
        <v>25</v>
      </c>
      <c r="D730" t="s">
        <v>9</v>
      </c>
      <c r="E730" t="b">
        <v>0</v>
      </c>
      <c r="F730" t="s">
        <v>7</v>
      </c>
    </row>
    <row r="731" spans="1:6" x14ac:dyDescent="0.2">
      <c r="A731">
        <v>2</v>
      </c>
      <c r="B731">
        <v>1</v>
      </c>
      <c r="C731" t="s">
        <v>26</v>
      </c>
      <c r="D731" t="s">
        <v>9</v>
      </c>
      <c r="E731" t="b">
        <v>0</v>
      </c>
      <c r="F731" t="s">
        <v>7</v>
      </c>
    </row>
    <row r="732" spans="1:6" x14ac:dyDescent="0.2">
      <c r="A732">
        <v>2</v>
      </c>
      <c r="B732">
        <v>1</v>
      </c>
      <c r="C732" t="s">
        <v>8</v>
      </c>
      <c r="D732" t="s">
        <v>9</v>
      </c>
      <c r="E732" t="b">
        <v>0</v>
      </c>
      <c r="F732" t="s">
        <v>7</v>
      </c>
    </row>
    <row r="733" spans="1:6" x14ac:dyDescent="0.2">
      <c r="A733">
        <v>2</v>
      </c>
      <c r="B733">
        <v>1</v>
      </c>
      <c r="C733" t="s">
        <v>24</v>
      </c>
      <c r="D733" t="s">
        <v>9</v>
      </c>
      <c r="E733" t="b">
        <v>0</v>
      </c>
      <c r="F733" t="s">
        <v>7</v>
      </c>
    </row>
    <row r="734" spans="1:6" x14ac:dyDescent="0.2">
      <c r="A734">
        <v>2</v>
      </c>
      <c r="B734">
        <v>1</v>
      </c>
      <c r="C734" t="s">
        <v>25</v>
      </c>
      <c r="D734" t="s">
        <v>9</v>
      </c>
      <c r="E734" t="b">
        <v>0</v>
      </c>
      <c r="F734" t="s">
        <v>7</v>
      </c>
    </row>
    <row r="735" spans="1:6" x14ac:dyDescent="0.2">
      <c r="A735">
        <v>2</v>
      </c>
      <c r="B735">
        <v>1</v>
      </c>
      <c r="C735" t="s">
        <v>26</v>
      </c>
      <c r="D735" t="s">
        <v>9</v>
      </c>
      <c r="E735" t="b">
        <v>0</v>
      </c>
      <c r="F735" t="s">
        <v>7</v>
      </c>
    </row>
    <row r="736" spans="1:6" x14ac:dyDescent="0.2">
      <c r="A736">
        <v>2</v>
      </c>
      <c r="B736">
        <v>1</v>
      </c>
      <c r="C736" t="s">
        <v>8</v>
      </c>
      <c r="D736" t="s">
        <v>9</v>
      </c>
      <c r="E736" t="b">
        <v>0</v>
      </c>
      <c r="F736" t="s">
        <v>7</v>
      </c>
    </row>
    <row r="737" spans="1:6" x14ac:dyDescent="0.2">
      <c r="A737">
        <v>2</v>
      </c>
      <c r="B737">
        <v>1</v>
      </c>
      <c r="C737" t="s">
        <v>24</v>
      </c>
      <c r="D737" t="s">
        <v>9</v>
      </c>
      <c r="E737" t="b">
        <v>0</v>
      </c>
      <c r="F737" t="s">
        <v>7</v>
      </c>
    </row>
    <row r="738" spans="1:6" x14ac:dyDescent="0.2">
      <c r="A738">
        <v>2</v>
      </c>
      <c r="B738">
        <v>1</v>
      </c>
      <c r="C738" t="s">
        <v>26</v>
      </c>
      <c r="D738" t="s">
        <v>9</v>
      </c>
      <c r="E738" t="b">
        <v>0</v>
      </c>
      <c r="F738" t="s">
        <v>7</v>
      </c>
    </row>
    <row r="739" spans="1:6" x14ac:dyDescent="0.2">
      <c r="A739">
        <v>2</v>
      </c>
      <c r="B739">
        <v>1</v>
      </c>
      <c r="C739" t="s">
        <v>8</v>
      </c>
      <c r="D739" t="s">
        <v>9</v>
      </c>
      <c r="E739" t="b">
        <v>0</v>
      </c>
      <c r="F739" t="s">
        <v>7</v>
      </c>
    </row>
    <row r="740" spans="1:6" x14ac:dyDescent="0.2">
      <c r="A740">
        <v>2</v>
      </c>
      <c r="B740">
        <v>1</v>
      </c>
      <c r="C740" t="s">
        <v>24</v>
      </c>
      <c r="D740" t="s">
        <v>9</v>
      </c>
      <c r="E740" t="b">
        <v>0</v>
      </c>
      <c r="F740" t="s">
        <v>7</v>
      </c>
    </row>
    <row r="741" spans="1:6" x14ac:dyDescent="0.2">
      <c r="A741">
        <v>2</v>
      </c>
      <c r="B741">
        <v>1</v>
      </c>
      <c r="C741" t="s">
        <v>25</v>
      </c>
      <c r="D741" t="s">
        <v>9</v>
      </c>
      <c r="E741" t="b">
        <v>0</v>
      </c>
      <c r="F741" t="s">
        <v>7</v>
      </c>
    </row>
    <row r="742" spans="1:6" x14ac:dyDescent="0.2">
      <c r="A742">
        <v>2</v>
      </c>
      <c r="B742">
        <v>1</v>
      </c>
      <c r="C742" t="s">
        <v>26</v>
      </c>
      <c r="D742" t="s">
        <v>9</v>
      </c>
      <c r="E742" t="b">
        <v>0</v>
      </c>
      <c r="F742" t="s">
        <v>7</v>
      </c>
    </row>
    <row r="743" spans="1:6" x14ac:dyDescent="0.2">
      <c r="A743">
        <v>2</v>
      </c>
      <c r="B743">
        <v>1</v>
      </c>
      <c r="C743" t="s">
        <v>8</v>
      </c>
      <c r="D743" t="s">
        <v>9</v>
      </c>
      <c r="E743" t="b">
        <v>0</v>
      </c>
      <c r="F743" t="s">
        <v>7</v>
      </c>
    </row>
    <row r="744" spans="1:6" x14ac:dyDescent="0.2">
      <c r="A744">
        <v>2</v>
      </c>
      <c r="B744">
        <v>1</v>
      </c>
      <c r="C744" t="s">
        <v>24</v>
      </c>
      <c r="D744" t="s">
        <v>9</v>
      </c>
      <c r="E744" t="b">
        <v>0</v>
      </c>
      <c r="F744" t="s">
        <v>7</v>
      </c>
    </row>
    <row r="745" spans="1:6" x14ac:dyDescent="0.2">
      <c r="A745">
        <v>2</v>
      </c>
      <c r="B745">
        <v>1</v>
      </c>
      <c r="C745" t="s">
        <v>25</v>
      </c>
      <c r="D745" t="s">
        <v>9</v>
      </c>
      <c r="E745" t="b">
        <v>0</v>
      </c>
      <c r="F745" t="s">
        <v>7</v>
      </c>
    </row>
    <row r="746" spans="1:6" x14ac:dyDescent="0.2">
      <c r="A746">
        <v>2</v>
      </c>
      <c r="B746">
        <v>1</v>
      </c>
      <c r="C746" t="s">
        <v>26</v>
      </c>
      <c r="D746" t="s">
        <v>9</v>
      </c>
      <c r="E746" t="b">
        <v>0</v>
      </c>
      <c r="F746" t="s">
        <v>7</v>
      </c>
    </row>
    <row r="747" spans="1:6" x14ac:dyDescent="0.2">
      <c r="A747">
        <v>2</v>
      </c>
      <c r="B747">
        <v>1</v>
      </c>
      <c r="C747" t="s">
        <v>8</v>
      </c>
      <c r="D747" t="s">
        <v>9</v>
      </c>
      <c r="E747" t="b">
        <v>0</v>
      </c>
      <c r="F747" t="s">
        <v>7</v>
      </c>
    </row>
    <row r="748" spans="1:6" x14ac:dyDescent="0.2">
      <c r="A748">
        <v>2</v>
      </c>
      <c r="B748">
        <v>1</v>
      </c>
      <c r="C748" t="s">
        <v>24</v>
      </c>
      <c r="D748" t="s">
        <v>9</v>
      </c>
      <c r="E748" t="b">
        <v>0</v>
      </c>
      <c r="F748" t="s">
        <v>7</v>
      </c>
    </row>
    <row r="749" spans="1:6" x14ac:dyDescent="0.2">
      <c r="A749">
        <v>2</v>
      </c>
      <c r="B749">
        <v>1</v>
      </c>
      <c r="C749" t="s">
        <v>25</v>
      </c>
      <c r="D749" t="s">
        <v>9</v>
      </c>
      <c r="E749" t="b">
        <v>0</v>
      </c>
      <c r="F749" t="s">
        <v>7</v>
      </c>
    </row>
    <row r="750" spans="1:6" x14ac:dyDescent="0.2">
      <c r="A750">
        <v>2</v>
      </c>
      <c r="B750">
        <v>1</v>
      </c>
      <c r="C750" t="s">
        <v>26</v>
      </c>
      <c r="D750" t="s">
        <v>9</v>
      </c>
      <c r="E750" t="b">
        <v>0</v>
      </c>
      <c r="F750" t="s">
        <v>7</v>
      </c>
    </row>
    <row r="751" spans="1:6" x14ac:dyDescent="0.2">
      <c r="A751">
        <v>2</v>
      </c>
      <c r="B751">
        <v>1</v>
      </c>
      <c r="C751" t="s">
        <v>8</v>
      </c>
      <c r="D751" t="s">
        <v>9</v>
      </c>
      <c r="E751" t="b">
        <v>0</v>
      </c>
      <c r="F751" t="s">
        <v>7</v>
      </c>
    </row>
    <row r="752" spans="1:6" x14ac:dyDescent="0.2">
      <c r="A752">
        <v>2</v>
      </c>
      <c r="B752">
        <v>1</v>
      </c>
      <c r="C752" t="s">
        <v>24</v>
      </c>
      <c r="D752" t="s">
        <v>9</v>
      </c>
      <c r="E752" t="b">
        <v>0</v>
      </c>
      <c r="F752" t="s">
        <v>7</v>
      </c>
    </row>
    <row r="753" spans="1:6" x14ac:dyDescent="0.2">
      <c r="A753">
        <v>2</v>
      </c>
      <c r="B753">
        <v>1</v>
      </c>
      <c r="C753" t="s">
        <v>25</v>
      </c>
      <c r="D753" t="s">
        <v>9</v>
      </c>
      <c r="E753" t="b">
        <v>0</v>
      </c>
      <c r="F753" t="s">
        <v>7</v>
      </c>
    </row>
    <row r="754" spans="1:6" x14ac:dyDescent="0.2">
      <c r="A754">
        <v>2</v>
      </c>
      <c r="B754">
        <v>1</v>
      </c>
      <c r="C754" t="s">
        <v>26</v>
      </c>
      <c r="D754" t="s">
        <v>9</v>
      </c>
      <c r="E754" t="b">
        <v>0</v>
      </c>
      <c r="F754" t="s">
        <v>7</v>
      </c>
    </row>
    <row r="755" spans="1:6" x14ac:dyDescent="0.2">
      <c r="A755">
        <v>2</v>
      </c>
      <c r="B755">
        <v>1</v>
      </c>
      <c r="C755" t="s">
        <v>8</v>
      </c>
      <c r="D755" t="s">
        <v>9</v>
      </c>
      <c r="E755" t="b">
        <v>0</v>
      </c>
      <c r="F755" t="s">
        <v>7</v>
      </c>
    </row>
    <row r="756" spans="1:6" x14ac:dyDescent="0.2">
      <c r="A756">
        <v>2</v>
      </c>
      <c r="B756">
        <v>1</v>
      </c>
      <c r="C756" t="s">
        <v>24</v>
      </c>
      <c r="D756" t="s">
        <v>9</v>
      </c>
      <c r="E756" t="b">
        <v>0</v>
      </c>
      <c r="F756" t="s">
        <v>7</v>
      </c>
    </row>
    <row r="757" spans="1:6" x14ac:dyDescent="0.2">
      <c r="A757">
        <v>2</v>
      </c>
      <c r="B757">
        <v>1</v>
      </c>
      <c r="C757" t="s">
        <v>25</v>
      </c>
      <c r="D757" t="s">
        <v>9</v>
      </c>
      <c r="E757" t="b">
        <v>0</v>
      </c>
      <c r="F757" t="s">
        <v>7</v>
      </c>
    </row>
    <row r="758" spans="1:6" x14ac:dyDescent="0.2">
      <c r="A758">
        <v>2</v>
      </c>
      <c r="B758">
        <v>1</v>
      </c>
      <c r="C758" t="s">
        <v>26</v>
      </c>
      <c r="D758" t="s">
        <v>9</v>
      </c>
      <c r="E758" t="b">
        <v>0</v>
      </c>
      <c r="F758" t="s">
        <v>7</v>
      </c>
    </row>
    <row r="759" spans="1:6" x14ac:dyDescent="0.2">
      <c r="A759">
        <v>2</v>
      </c>
      <c r="B759">
        <v>1</v>
      </c>
      <c r="C759" t="s">
        <v>8</v>
      </c>
      <c r="D759" t="s">
        <v>9</v>
      </c>
      <c r="E759" t="b">
        <v>0</v>
      </c>
      <c r="F759" t="s">
        <v>7</v>
      </c>
    </row>
    <row r="760" spans="1:6" x14ac:dyDescent="0.2">
      <c r="A760">
        <v>2</v>
      </c>
      <c r="B760">
        <v>1</v>
      </c>
      <c r="C760" t="s">
        <v>24</v>
      </c>
      <c r="D760" t="s">
        <v>9</v>
      </c>
      <c r="E760" t="b">
        <v>0</v>
      </c>
      <c r="F760" t="s">
        <v>7</v>
      </c>
    </row>
    <row r="761" spans="1:6" x14ac:dyDescent="0.2">
      <c r="A761">
        <v>2</v>
      </c>
      <c r="B761">
        <v>1</v>
      </c>
      <c r="C761" t="s">
        <v>25</v>
      </c>
      <c r="D761" t="s">
        <v>9</v>
      </c>
      <c r="E761" t="b">
        <v>0</v>
      </c>
      <c r="F761" t="s">
        <v>7</v>
      </c>
    </row>
    <row r="762" spans="1:6" x14ac:dyDescent="0.2">
      <c r="A762">
        <v>2</v>
      </c>
      <c r="B762">
        <v>1</v>
      </c>
      <c r="C762" t="s">
        <v>26</v>
      </c>
      <c r="D762" t="s">
        <v>9</v>
      </c>
      <c r="E762" t="b">
        <v>0</v>
      </c>
      <c r="F762" t="s">
        <v>7</v>
      </c>
    </row>
    <row r="763" spans="1:6" x14ac:dyDescent="0.2">
      <c r="A763">
        <v>2</v>
      </c>
      <c r="B763">
        <v>1</v>
      </c>
      <c r="C763" t="s">
        <v>8</v>
      </c>
      <c r="D763" t="s">
        <v>9</v>
      </c>
      <c r="E763" t="b">
        <v>0</v>
      </c>
      <c r="F763" t="s">
        <v>7</v>
      </c>
    </row>
    <row r="764" spans="1:6" x14ac:dyDescent="0.2">
      <c r="A764">
        <v>2</v>
      </c>
      <c r="B764">
        <v>1</v>
      </c>
      <c r="C764" t="s">
        <v>24</v>
      </c>
      <c r="D764" t="s">
        <v>9</v>
      </c>
      <c r="E764" t="b">
        <v>0</v>
      </c>
      <c r="F764" t="s">
        <v>7</v>
      </c>
    </row>
    <row r="765" spans="1:6" x14ac:dyDescent="0.2">
      <c r="A765">
        <v>2</v>
      </c>
      <c r="B765">
        <v>1</v>
      </c>
      <c r="C765" t="s">
        <v>25</v>
      </c>
      <c r="D765" t="s">
        <v>9</v>
      </c>
      <c r="E765" t="b">
        <v>0</v>
      </c>
      <c r="F765" t="s">
        <v>7</v>
      </c>
    </row>
    <row r="766" spans="1:6" x14ac:dyDescent="0.2">
      <c r="A766">
        <v>2</v>
      </c>
      <c r="B766">
        <v>1</v>
      </c>
      <c r="C766" t="s">
        <v>26</v>
      </c>
      <c r="D766" t="s">
        <v>9</v>
      </c>
      <c r="E766" t="b">
        <v>0</v>
      </c>
      <c r="F766" t="s">
        <v>7</v>
      </c>
    </row>
    <row r="767" spans="1:6" x14ac:dyDescent="0.2">
      <c r="A767">
        <v>2</v>
      </c>
      <c r="B767">
        <v>1</v>
      </c>
      <c r="C767" t="s">
        <v>8</v>
      </c>
      <c r="D767" t="s">
        <v>9</v>
      </c>
      <c r="E767" t="b">
        <v>0</v>
      </c>
      <c r="F767" t="s">
        <v>7</v>
      </c>
    </row>
    <row r="768" spans="1:6" x14ac:dyDescent="0.2">
      <c r="A768">
        <v>2</v>
      </c>
      <c r="B768">
        <v>1</v>
      </c>
      <c r="C768" t="s">
        <v>24</v>
      </c>
      <c r="D768" t="s">
        <v>9</v>
      </c>
      <c r="E768" t="b">
        <v>0</v>
      </c>
      <c r="F768" t="s">
        <v>7</v>
      </c>
    </row>
    <row r="769" spans="1:6" x14ac:dyDescent="0.2">
      <c r="A769">
        <v>2</v>
      </c>
      <c r="B769">
        <v>1</v>
      </c>
      <c r="C769" t="s">
        <v>25</v>
      </c>
      <c r="D769" t="s">
        <v>9</v>
      </c>
      <c r="E769" t="b">
        <v>0</v>
      </c>
      <c r="F769" t="s">
        <v>7</v>
      </c>
    </row>
    <row r="770" spans="1:6" x14ac:dyDescent="0.2">
      <c r="A770">
        <v>2</v>
      </c>
      <c r="B770">
        <v>1</v>
      </c>
      <c r="C770" t="s">
        <v>26</v>
      </c>
      <c r="D770" t="s">
        <v>9</v>
      </c>
      <c r="E770" t="b">
        <v>0</v>
      </c>
      <c r="F770" t="s">
        <v>7</v>
      </c>
    </row>
    <row r="771" spans="1:6" x14ac:dyDescent="0.2">
      <c r="A771">
        <v>2</v>
      </c>
      <c r="B771">
        <v>1</v>
      </c>
      <c r="C771" t="s">
        <v>8</v>
      </c>
      <c r="D771" t="s">
        <v>9</v>
      </c>
      <c r="E771" t="b">
        <v>0</v>
      </c>
      <c r="F771" t="s">
        <v>7</v>
      </c>
    </row>
    <row r="772" spans="1:6" x14ac:dyDescent="0.2">
      <c r="A772">
        <v>2</v>
      </c>
      <c r="B772">
        <v>1</v>
      </c>
      <c r="C772" t="s">
        <v>24</v>
      </c>
      <c r="D772" t="s">
        <v>9</v>
      </c>
      <c r="E772" t="b">
        <v>0</v>
      </c>
      <c r="F772" t="s">
        <v>7</v>
      </c>
    </row>
    <row r="773" spans="1:6" x14ac:dyDescent="0.2">
      <c r="A773">
        <v>2</v>
      </c>
      <c r="B773">
        <v>1</v>
      </c>
      <c r="C773" t="s">
        <v>25</v>
      </c>
      <c r="D773" t="s">
        <v>9</v>
      </c>
      <c r="E773" t="b">
        <v>0</v>
      </c>
      <c r="F773" t="s">
        <v>7</v>
      </c>
    </row>
    <row r="774" spans="1:6" x14ac:dyDescent="0.2">
      <c r="A774">
        <v>2</v>
      </c>
      <c r="B774">
        <v>1</v>
      </c>
      <c r="C774" t="s">
        <v>26</v>
      </c>
      <c r="D774" t="s">
        <v>9</v>
      </c>
      <c r="E774" t="b">
        <v>0</v>
      </c>
      <c r="F774" t="s">
        <v>7</v>
      </c>
    </row>
    <row r="775" spans="1:6" x14ac:dyDescent="0.2">
      <c r="A775">
        <v>2</v>
      </c>
      <c r="B775">
        <v>1</v>
      </c>
      <c r="C775" t="s">
        <v>8</v>
      </c>
      <c r="D775" t="s">
        <v>9</v>
      </c>
      <c r="E775" t="b">
        <v>0</v>
      </c>
      <c r="F775" t="s">
        <v>7</v>
      </c>
    </row>
    <row r="776" spans="1:6" x14ac:dyDescent="0.2">
      <c r="A776">
        <v>2</v>
      </c>
      <c r="B776">
        <v>1</v>
      </c>
      <c r="C776" t="s">
        <v>24</v>
      </c>
      <c r="D776" t="s">
        <v>9</v>
      </c>
      <c r="E776" t="b">
        <v>0</v>
      </c>
      <c r="F776" t="s">
        <v>7</v>
      </c>
    </row>
    <row r="777" spans="1:6" x14ac:dyDescent="0.2">
      <c r="A777">
        <v>2</v>
      </c>
      <c r="B777">
        <v>1</v>
      </c>
      <c r="C777" t="s">
        <v>25</v>
      </c>
      <c r="D777" t="s">
        <v>9</v>
      </c>
      <c r="E777" t="b">
        <v>0</v>
      </c>
      <c r="F777" t="s">
        <v>7</v>
      </c>
    </row>
    <row r="778" spans="1:6" x14ac:dyDescent="0.2">
      <c r="A778">
        <v>2</v>
      </c>
      <c r="B778">
        <v>1</v>
      </c>
      <c r="C778" t="s">
        <v>26</v>
      </c>
      <c r="D778" t="s">
        <v>9</v>
      </c>
      <c r="E778" t="b">
        <v>0</v>
      </c>
      <c r="F778" t="s">
        <v>7</v>
      </c>
    </row>
    <row r="779" spans="1:6" x14ac:dyDescent="0.2">
      <c r="A779">
        <v>2</v>
      </c>
      <c r="B779">
        <v>1</v>
      </c>
      <c r="C779" t="s">
        <v>8</v>
      </c>
      <c r="D779" t="s">
        <v>9</v>
      </c>
      <c r="E779" t="b">
        <v>0</v>
      </c>
      <c r="F779" t="s">
        <v>7</v>
      </c>
    </row>
    <row r="780" spans="1:6" x14ac:dyDescent="0.2">
      <c r="A780">
        <v>2</v>
      </c>
      <c r="B780">
        <v>1</v>
      </c>
      <c r="C780" t="s">
        <v>24</v>
      </c>
      <c r="D780" t="s">
        <v>9</v>
      </c>
      <c r="E780" t="b">
        <v>0</v>
      </c>
      <c r="F780" t="s">
        <v>7</v>
      </c>
    </row>
    <row r="781" spans="1:6" x14ac:dyDescent="0.2">
      <c r="A781">
        <v>2</v>
      </c>
      <c r="B781">
        <v>1</v>
      </c>
      <c r="C781" t="s">
        <v>25</v>
      </c>
      <c r="D781" t="s">
        <v>9</v>
      </c>
      <c r="E781" t="b">
        <v>0</v>
      </c>
      <c r="F781" t="s">
        <v>7</v>
      </c>
    </row>
    <row r="782" spans="1:6" x14ac:dyDescent="0.2">
      <c r="A782">
        <v>2</v>
      </c>
      <c r="B782">
        <v>1</v>
      </c>
      <c r="C782" t="s">
        <v>26</v>
      </c>
      <c r="D782" t="s">
        <v>9</v>
      </c>
      <c r="E782" t="b">
        <v>0</v>
      </c>
      <c r="F782" t="s">
        <v>7</v>
      </c>
    </row>
    <row r="783" spans="1:6" x14ac:dyDescent="0.2">
      <c r="A783">
        <v>2</v>
      </c>
      <c r="B783">
        <v>1</v>
      </c>
      <c r="C783" t="s">
        <v>8</v>
      </c>
      <c r="D783" t="s">
        <v>9</v>
      </c>
      <c r="E783" t="b">
        <v>0</v>
      </c>
      <c r="F783" t="s">
        <v>7</v>
      </c>
    </row>
    <row r="784" spans="1:6" x14ac:dyDescent="0.2">
      <c r="A784">
        <v>2</v>
      </c>
      <c r="B784">
        <v>1</v>
      </c>
      <c r="C784" t="s">
        <v>24</v>
      </c>
      <c r="D784" t="s">
        <v>9</v>
      </c>
      <c r="E784" t="b">
        <v>0</v>
      </c>
      <c r="F784" t="s">
        <v>7</v>
      </c>
    </row>
    <row r="785" spans="1:6" x14ac:dyDescent="0.2">
      <c r="A785">
        <v>2</v>
      </c>
      <c r="B785">
        <v>1</v>
      </c>
      <c r="C785" t="s">
        <v>25</v>
      </c>
      <c r="D785" t="s">
        <v>9</v>
      </c>
      <c r="E785" t="b">
        <v>0</v>
      </c>
      <c r="F785" t="s">
        <v>7</v>
      </c>
    </row>
    <row r="786" spans="1:6" x14ac:dyDescent="0.2">
      <c r="A786">
        <v>2</v>
      </c>
      <c r="B786">
        <v>1</v>
      </c>
      <c r="C786" t="s">
        <v>26</v>
      </c>
      <c r="D786" t="s">
        <v>9</v>
      </c>
      <c r="E786" t="b">
        <v>0</v>
      </c>
      <c r="F786" t="s">
        <v>7</v>
      </c>
    </row>
    <row r="787" spans="1:6" x14ac:dyDescent="0.2">
      <c r="A787">
        <v>2</v>
      </c>
      <c r="B787">
        <v>1</v>
      </c>
      <c r="C787" t="s">
        <v>8</v>
      </c>
      <c r="D787" t="s">
        <v>9</v>
      </c>
      <c r="E787" t="b">
        <v>0</v>
      </c>
      <c r="F787" t="s">
        <v>7</v>
      </c>
    </row>
    <row r="788" spans="1:6" x14ac:dyDescent="0.2">
      <c r="A788">
        <v>2</v>
      </c>
      <c r="B788">
        <v>1</v>
      </c>
      <c r="C788" t="s">
        <v>24</v>
      </c>
      <c r="D788" t="s">
        <v>9</v>
      </c>
      <c r="E788" t="b">
        <v>0</v>
      </c>
      <c r="F788" t="s">
        <v>7</v>
      </c>
    </row>
    <row r="789" spans="1:6" x14ac:dyDescent="0.2">
      <c r="A789">
        <v>2</v>
      </c>
      <c r="B789">
        <v>1</v>
      </c>
      <c r="C789" t="s">
        <v>25</v>
      </c>
      <c r="D789" t="s">
        <v>9</v>
      </c>
      <c r="E789" t="b">
        <v>0</v>
      </c>
      <c r="F789" t="s">
        <v>7</v>
      </c>
    </row>
    <row r="790" spans="1:6" x14ac:dyDescent="0.2">
      <c r="A790">
        <v>2</v>
      </c>
      <c r="B790">
        <v>1</v>
      </c>
      <c r="C790" t="s">
        <v>26</v>
      </c>
      <c r="D790" t="s">
        <v>9</v>
      </c>
      <c r="E790" t="b">
        <v>0</v>
      </c>
      <c r="F790" t="s">
        <v>7</v>
      </c>
    </row>
    <row r="791" spans="1:6" x14ac:dyDescent="0.2">
      <c r="A791">
        <v>2</v>
      </c>
      <c r="B791">
        <v>1</v>
      </c>
      <c r="C791" t="s">
        <v>8</v>
      </c>
      <c r="D791" t="s">
        <v>9</v>
      </c>
      <c r="E791" t="b">
        <v>0</v>
      </c>
      <c r="F791" t="s">
        <v>7</v>
      </c>
    </row>
    <row r="792" spans="1:6" x14ac:dyDescent="0.2">
      <c r="A792">
        <v>2</v>
      </c>
      <c r="B792">
        <v>1</v>
      </c>
      <c r="C792" t="s">
        <v>24</v>
      </c>
      <c r="D792" t="s">
        <v>9</v>
      </c>
      <c r="E792" t="b">
        <v>0</v>
      </c>
      <c r="F792" t="s">
        <v>7</v>
      </c>
    </row>
    <row r="793" spans="1:6" x14ac:dyDescent="0.2">
      <c r="A793">
        <v>2</v>
      </c>
      <c r="B793">
        <v>1</v>
      </c>
      <c r="C793" t="s">
        <v>25</v>
      </c>
      <c r="D793" t="s">
        <v>9</v>
      </c>
      <c r="E793" t="b">
        <v>0</v>
      </c>
      <c r="F793" t="s">
        <v>7</v>
      </c>
    </row>
    <row r="794" spans="1:6" x14ac:dyDescent="0.2">
      <c r="A794">
        <v>2</v>
      </c>
      <c r="B794">
        <v>1</v>
      </c>
      <c r="C794" t="s">
        <v>26</v>
      </c>
      <c r="D794" t="s">
        <v>9</v>
      </c>
      <c r="E794" t="b">
        <v>0</v>
      </c>
      <c r="F794" t="s">
        <v>7</v>
      </c>
    </row>
    <row r="795" spans="1:6" x14ac:dyDescent="0.2">
      <c r="A795">
        <v>2</v>
      </c>
      <c r="B795">
        <v>1</v>
      </c>
      <c r="C795" t="s">
        <v>8</v>
      </c>
      <c r="D795" t="s">
        <v>9</v>
      </c>
      <c r="E795" t="b">
        <v>0</v>
      </c>
      <c r="F795" t="s">
        <v>7</v>
      </c>
    </row>
    <row r="796" spans="1:6" x14ac:dyDescent="0.2">
      <c r="A796">
        <v>2</v>
      </c>
      <c r="B796">
        <v>1</v>
      </c>
      <c r="C796" t="s">
        <v>24</v>
      </c>
      <c r="D796" t="s">
        <v>9</v>
      </c>
      <c r="E796" t="b">
        <v>0</v>
      </c>
      <c r="F796" t="s">
        <v>7</v>
      </c>
    </row>
    <row r="797" spans="1:6" x14ac:dyDescent="0.2">
      <c r="A797">
        <v>2</v>
      </c>
      <c r="B797">
        <v>1</v>
      </c>
      <c r="C797" t="s">
        <v>25</v>
      </c>
      <c r="D797" t="s">
        <v>9</v>
      </c>
      <c r="E797" t="b">
        <v>0</v>
      </c>
      <c r="F797" t="s">
        <v>7</v>
      </c>
    </row>
    <row r="798" spans="1:6" x14ac:dyDescent="0.2">
      <c r="A798">
        <v>2</v>
      </c>
      <c r="B798">
        <v>1</v>
      </c>
      <c r="C798" t="s">
        <v>26</v>
      </c>
      <c r="D798" t="s">
        <v>9</v>
      </c>
      <c r="E798" t="b">
        <v>0</v>
      </c>
      <c r="F798" t="s">
        <v>7</v>
      </c>
    </row>
    <row r="799" spans="1:6" x14ac:dyDescent="0.2">
      <c r="A799">
        <v>2</v>
      </c>
      <c r="B799">
        <v>1</v>
      </c>
      <c r="C799" t="s">
        <v>8</v>
      </c>
      <c r="D799" t="s">
        <v>9</v>
      </c>
      <c r="E799" t="b">
        <v>0</v>
      </c>
      <c r="F799" t="s">
        <v>7</v>
      </c>
    </row>
    <row r="800" spans="1:6" x14ac:dyDescent="0.2">
      <c r="A800">
        <v>2</v>
      </c>
      <c r="B800">
        <v>1</v>
      </c>
      <c r="C800" t="s">
        <v>24</v>
      </c>
      <c r="D800" t="s">
        <v>9</v>
      </c>
      <c r="E800" t="b">
        <v>0</v>
      </c>
      <c r="F800" t="s">
        <v>7</v>
      </c>
    </row>
    <row r="801" spans="1:6" x14ac:dyDescent="0.2">
      <c r="A801">
        <v>2</v>
      </c>
      <c r="B801">
        <v>1</v>
      </c>
      <c r="C801" t="s">
        <v>25</v>
      </c>
      <c r="D801" t="s">
        <v>9</v>
      </c>
      <c r="E801" t="b">
        <v>0</v>
      </c>
      <c r="F801" t="s">
        <v>7</v>
      </c>
    </row>
    <row r="802" spans="1:6" x14ac:dyDescent="0.2">
      <c r="A802">
        <v>2</v>
      </c>
      <c r="B802">
        <v>1</v>
      </c>
      <c r="C802" t="s">
        <v>26</v>
      </c>
      <c r="D802" t="s">
        <v>9</v>
      </c>
      <c r="E802" t="b">
        <v>0</v>
      </c>
      <c r="F802" t="s">
        <v>7</v>
      </c>
    </row>
    <row r="803" spans="1:6" x14ac:dyDescent="0.2">
      <c r="A803">
        <v>2</v>
      </c>
      <c r="B803">
        <v>1</v>
      </c>
      <c r="C803" t="s">
        <v>8</v>
      </c>
      <c r="D803" t="s">
        <v>9</v>
      </c>
      <c r="E803" t="b">
        <v>0</v>
      </c>
      <c r="F803" t="s">
        <v>7</v>
      </c>
    </row>
    <row r="804" spans="1:6" x14ac:dyDescent="0.2">
      <c r="A804">
        <v>2</v>
      </c>
      <c r="B804">
        <v>1</v>
      </c>
      <c r="C804" t="s">
        <v>24</v>
      </c>
      <c r="D804" t="s">
        <v>9</v>
      </c>
      <c r="E804" t="b">
        <v>0</v>
      </c>
      <c r="F804" t="s">
        <v>7</v>
      </c>
    </row>
    <row r="805" spans="1:6" x14ac:dyDescent="0.2">
      <c r="A805">
        <v>2</v>
      </c>
      <c r="B805">
        <v>1</v>
      </c>
      <c r="C805" t="s">
        <v>25</v>
      </c>
      <c r="D805" t="s">
        <v>9</v>
      </c>
      <c r="E805" t="b">
        <v>0</v>
      </c>
      <c r="F805" t="s">
        <v>7</v>
      </c>
    </row>
    <row r="806" spans="1:6" x14ac:dyDescent="0.2">
      <c r="A806">
        <v>2</v>
      </c>
      <c r="B806">
        <v>1</v>
      </c>
      <c r="C806" t="s">
        <v>26</v>
      </c>
      <c r="D806" t="s">
        <v>9</v>
      </c>
      <c r="E806" t="b">
        <v>0</v>
      </c>
      <c r="F806" t="s">
        <v>7</v>
      </c>
    </row>
    <row r="807" spans="1:6" x14ac:dyDescent="0.2">
      <c r="A807">
        <v>2</v>
      </c>
      <c r="B807">
        <v>1</v>
      </c>
      <c r="C807" t="s">
        <v>8</v>
      </c>
      <c r="D807" t="s">
        <v>9</v>
      </c>
      <c r="E807" t="b">
        <v>0</v>
      </c>
      <c r="F807" t="s">
        <v>7</v>
      </c>
    </row>
    <row r="808" spans="1:6" x14ac:dyDescent="0.2">
      <c r="A808">
        <v>2</v>
      </c>
      <c r="B808">
        <v>1</v>
      </c>
      <c r="C808" t="s">
        <v>24</v>
      </c>
      <c r="D808" t="s">
        <v>9</v>
      </c>
      <c r="E808" t="b">
        <v>0</v>
      </c>
      <c r="F808" t="s">
        <v>7</v>
      </c>
    </row>
    <row r="809" spans="1:6" x14ac:dyDescent="0.2">
      <c r="A809">
        <v>2</v>
      </c>
      <c r="B809">
        <v>1</v>
      </c>
      <c r="C809" t="s">
        <v>25</v>
      </c>
      <c r="D809" t="s">
        <v>9</v>
      </c>
      <c r="E809" t="b">
        <v>0</v>
      </c>
      <c r="F809" t="s">
        <v>7</v>
      </c>
    </row>
    <row r="810" spans="1:6" x14ac:dyDescent="0.2">
      <c r="A810">
        <v>2</v>
      </c>
      <c r="B810">
        <v>1</v>
      </c>
      <c r="C810" t="s">
        <v>26</v>
      </c>
      <c r="D810" t="s">
        <v>9</v>
      </c>
      <c r="E810" t="b">
        <v>0</v>
      </c>
      <c r="F810" t="s">
        <v>7</v>
      </c>
    </row>
    <row r="811" spans="1:6" x14ac:dyDescent="0.2">
      <c r="A811">
        <v>2</v>
      </c>
      <c r="B811">
        <v>1</v>
      </c>
      <c r="C811" t="s">
        <v>8</v>
      </c>
      <c r="D811" t="s">
        <v>9</v>
      </c>
      <c r="E811" t="b">
        <v>0</v>
      </c>
      <c r="F811" t="s">
        <v>7</v>
      </c>
    </row>
    <row r="812" spans="1:6" x14ac:dyDescent="0.2">
      <c r="A812">
        <v>2</v>
      </c>
      <c r="B812">
        <v>1</v>
      </c>
      <c r="C812" t="s">
        <v>24</v>
      </c>
      <c r="D812" t="s">
        <v>9</v>
      </c>
      <c r="E812" t="b">
        <v>0</v>
      </c>
      <c r="F812" t="s">
        <v>7</v>
      </c>
    </row>
    <row r="813" spans="1:6" x14ac:dyDescent="0.2">
      <c r="A813">
        <v>2</v>
      </c>
      <c r="B813">
        <v>1</v>
      </c>
      <c r="C813" t="s">
        <v>25</v>
      </c>
      <c r="D813" t="s">
        <v>9</v>
      </c>
      <c r="E813" t="b">
        <v>0</v>
      </c>
      <c r="F813" t="s">
        <v>7</v>
      </c>
    </row>
    <row r="814" spans="1:6" x14ac:dyDescent="0.2">
      <c r="A814">
        <v>2</v>
      </c>
      <c r="B814">
        <v>1</v>
      </c>
      <c r="C814" t="s">
        <v>26</v>
      </c>
      <c r="D814" t="s">
        <v>9</v>
      </c>
      <c r="E814" t="b">
        <v>0</v>
      </c>
      <c r="F814" t="s">
        <v>7</v>
      </c>
    </row>
    <row r="815" spans="1:6" x14ac:dyDescent="0.2">
      <c r="A815">
        <v>2</v>
      </c>
      <c r="B815">
        <v>1</v>
      </c>
      <c r="C815" t="s">
        <v>8</v>
      </c>
      <c r="D815" t="s">
        <v>9</v>
      </c>
      <c r="E815" t="b">
        <v>0</v>
      </c>
      <c r="F815" t="s">
        <v>7</v>
      </c>
    </row>
    <row r="816" spans="1:6" x14ac:dyDescent="0.2">
      <c r="A816">
        <v>2</v>
      </c>
      <c r="B816">
        <v>1</v>
      </c>
      <c r="C816" t="s">
        <v>24</v>
      </c>
      <c r="D816" t="s">
        <v>9</v>
      </c>
      <c r="E816" t="b">
        <v>0</v>
      </c>
      <c r="F816" t="s">
        <v>7</v>
      </c>
    </row>
    <row r="817" spans="1:6" x14ac:dyDescent="0.2">
      <c r="A817">
        <v>2</v>
      </c>
      <c r="B817">
        <v>1</v>
      </c>
      <c r="C817" t="s">
        <v>25</v>
      </c>
      <c r="D817" t="s">
        <v>9</v>
      </c>
      <c r="E817" t="b">
        <v>0</v>
      </c>
      <c r="F817" t="s">
        <v>7</v>
      </c>
    </row>
    <row r="818" spans="1:6" x14ac:dyDescent="0.2">
      <c r="A818">
        <v>2</v>
      </c>
      <c r="B818">
        <v>1</v>
      </c>
      <c r="C818" t="s">
        <v>26</v>
      </c>
      <c r="D818" t="s">
        <v>9</v>
      </c>
      <c r="E818" t="b">
        <v>0</v>
      </c>
      <c r="F818" t="s">
        <v>7</v>
      </c>
    </row>
    <row r="819" spans="1:6" x14ac:dyDescent="0.2">
      <c r="A819">
        <v>2</v>
      </c>
      <c r="B819">
        <v>1</v>
      </c>
      <c r="C819" t="s">
        <v>8</v>
      </c>
      <c r="D819" t="s">
        <v>9</v>
      </c>
      <c r="E819" t="b">
        <v>0</v>
      </c>
      <c r="F819" t="s">
        <v>7</v>
      </c>
    </row>
    <row r="820" spans="1:6" x14ac:dyDescent="0.2">
      <c r="A820">
        <v>2</v>
      </c>
      <c r="B820">
        <v>1</v>
      </c>
      <c r="C820" t="s">
        <v>24</v>
      </c>
      <c r="D820" t="s">
        <v>9</v>
      </c>
      <c r="E820" t="b">
        <v>0</v>
      </c>
      <c r="F820" t="s">
        <v>7</v>
      </c>
    </row>
    <row r="821" spans="1:6" x14ac:dyDescent="0.2">
      <c r="A821">
        <v>2</v>
      </c>
      <c r="B821">
        <v>1</v>
      </c>
      <c r="C821" t="s">
        <v>25</v>
      </c>
      <c r="D821" t="s">
        <v>9</v>
      </c>
      <c r="E821" t="b">
        <v>0</v>
      </c>
      <c r="F821" t="s">
        <v>7</v>
      </c>
    </row>
    <row r="822" spans="1:6" x14ac:dyDescent="0.2">
      <c r="A822">
        <v>2</v>
      </c>
      <c r="B822">
        <v>1</v>
      </c>
      <c r="C822" t="s">
        <v>26</v>
      </c>
      <c r="D822" t="s">
        <v>9</v>
      </c>
      <c r="E822" t="b">
        <v>0</v>
      </c>
      <c r="F822" t="s">
        <v>7</v>
      </c>
    </row>
    <row r="823" spans="1:6" x14ac:dyDescent="0.2">
      <c r="A823">
        <v>2</v>
      </c>
      <c r="B823">
        <v>1</v>
      </c>
      <c r="C823" t="s">
        <v>8</v>
      </c>
      <c r="D823" t="s">
        <v>9</v>
      </c>
      <c r="E823" t="b">
        <v>0</v>
      </c>
      <c r="F823" t="s">
        <v>7</v>
      </c>
    </row>
    <row r="824" spans="1:6" x14ac:dyDescent="0.2">
      <c r="A824">
        <v>2</v>
      </c>
      <c r="B824">
        <v>1</v>
      </c>
      <c r="C824" t="s">
        <v>24</v>
      </c>
      <c r="D824" t="s">
        <v>9</v>
      </c>
      <c r="E824" t="b">
        <v>0</v>
      </c>
      <c r="F824" t="s">
        <v>7</v>
      </c>
    </row>
    <row r="825" spans="1:6" x14ac:dyDescent="0.2">
      <c r="A825">
        <v>2</v>
      </c>
      <c r="B825">
        <v>1</v>
      </c>
      <c r="C825" t="s">
        <v>25</v>
      </c>
      <c r="D825" t="s">
        <v>9</v>
      </c>
      <c r="E825" t="b">
        <v>0</v>
      </c>
      <c r="F825" t="s">
        <v>7</v>
      </c>
    </row>
    <row r="826" spans="1:6" x14ac:dyDescent="0.2">
      <c r="A826">
        <v>2</v>
      </c>
      <c r="B826">
        <v>1</v>
      </c>
      <c r="C826" t="s">
        <v>26</v>
      </c>
      <c r="D826" t="s">
        <v>9</v>
      </c>
      <c r="E826" t="b">
        <v>0</v>
      </c>
      <c r="F826" t="s">
        <v>7</v>
      </c>
    </row>
    <row r="827" spans="1:6" x14ac:dyDescent="0.2">
      <c r="A827">
        <v>2</v>
      </c>
      <c r="B827">
        <v>1</v>
      </c>
      <c r="C827" t="s">
        <v>8</v>
      </c>
      <c r="D827" t="s">
        <v>9</v>
      </c>
      <c r="E827" t="b">
        <v>0</v>
      </c>
      <c r="F827" t="s">
        <v>7</v>
      </c>
    </row>
    <row r="828" spans="1:6" x14ac:dyDescent="0.2">
      <c r="A828">
        <v>2</v>
      </c>
      <c r="B828">
        <v>1</v>
      </c>
      <c r="C828" t="s">
        <v>24</v>
      </c>
      <c r="D828" t="s">
        <v>9</v>
      </c>
      <c r="E828" t="b">
        <v>0</v>
      </c>
      <c r="F828" t="s">
        <v>7</v>
      </c>
    </row>
    <row r="829" spans="1:6" x14ac:dyDescent="0.2">
      <c r="A829">
        <v>2</v>
      </c>
      <c r="B829">
        <v>1</v>
      </c>
      <c r="C829" t="s">
        <v>25</v>
      </c>
      <c r="D829" t="s">
        <v>9</v>
      </c>
      <c r="E829" t="b">
        <v>0</v>
      </c>
      <c r="F829" t="s">
        <v>7</v>
      </c>
    </row>
    <row r="830" spans="1:6" x14ac:dyDescent="0.2">
      <c r="A830">
        <v>2</v>
      </c>
      <c r="B830">
        <v>1</v>
      </c>
      <c r="C830" t="s">
        <v>26</v>
      </c>
      <c r="D830" t="s">
        <v>9</v>
      </c>
      <c r="E830" t="b">
        <v>0</v>
      </c>
      <c r="F830" t="s">
        <v>7</v>
      </c>
    </row>
    <row r="831" spans="1:6" x14ac:dyDescent="0.2">
      <c r="A831">
        <v>2</v>
      </c>
      <c r="B831">
        <v>1</v>
      </c>
      <c r="C831" t="s">
        <v>8</v>
      </c>
      <c r="D831" t="s">
        <v>9</v>
      </c>
      <c r="E831" t="b">
        <v>0</v>
      </c>
      <c r="F831" t="s">
        <v>7</v>
      </c>
    </row>
    <row r="832" spans="1:6" x14ac:dyDescent="0.2">
      <c r="A832">
        <v>2</v>
      </c>
      <c r="B832">
        <v>1</v>
      </c>
      <c r="C832" t="s">
        <v>24</v>
      </c>
      <c r="D832" t="s">
        <v>9</v>
      </c>
      <c r="E832" t="b">
        <v>0</v>
      </c>
      <c r="F832" t="s">
        <v>7</v>
      </c>
    </row>
    <row r="833" spans="1:6" x14ac:dyDescent="0.2">
      <c r="A833">
        <v>2</v>
      </c>
      <c r="B833">
        <v>1</v>
      </c>
      <c r="C833" t="s">
        <v>25</v>
      </c>
      <c r="D833" t="s">
        <v>9</v>
      </c>
      <c r="E833" t="b">
        <v>0</v>
      </c>
      <c r="F833" t="s">
        <v>7</v>
      </c>
    </row>
    <row r="834" spans="1:6" x14ac:dyDescent="0.2">
      <c r="A834">
        <v>2</v>
      </c>
      <c r="B834">
        <v>1</v>
      </c>
      <c r="C834" t="s">
        <v>26</v>
      </c>
      <c r="D834" t="s">
        <v>9</v>
      </c>
      <c r="E834" t="b">
        <v>0</v>
      </c>
      <c r="F834" t="s">
        <v>7</v>
      </c>
    </row>
    <row r="835" spans="1:6" x14ac:dyDescent="0.2">
      <c r="A835">
        <v>2</v>
      </c>
      <c r="B835">
        <v>1</v>
      </c>
      <c r="C835" t="s">
        <v>8</v>
      </c>
      <c r="D835" t="s">
        <v>9</v>
      </c>
      <c r="E835" t="b">
        <v>0</v>
      </c>
      <c r="F835" t="s">
        <v>7</v>
      </c>
    </row>
    <row r="836" spans="1:6" x14ac:dyDescent="0.2">
      <c r="A836">
        <v>2</v>
      </c>
      <c r="B836">
        <v>1</v>
      </c>
      <c r="C836" t="s">
        <v>24</v>
      </c>
      <c r="D836" t="s">
        <v>9</v>
      </c>
      <c r="E836" t="b">
        <v>0</v>
      </c>
      <c r="F836" t="s">
        <v>7</v>
      </c>
    </row>
    <row r="837" spans="1:6" x14ac:dyDescent="0.2">
      <c r="A837">
        <v>2</v>
      </c>
      <c r="B837">
        <v>1</v>
      </c>
      <c r="C837" t="s">
        <v>25</v>
      </c>
      <c r="D837" t="s">
        <v>9</v>
      </c>
      <c r="E837" t="b">
        <v>0</v>
      </c>
      <c r="F837" t="s">
        <v>7</v>
      </c>
    </row>
    <row r="838" spans="1:6" x14ac:dyDescent="0.2">
      <c r="A838">
        <v>2</v>
      </c>
      <c r="B838">
        <v>1</v>
      </c>
      <c r="C838" t="s">
        <v>26</v>
      </c>
      <c r="D838" t="s">
        <v>9</v>
      </c>
      <c r="E838" t="b">
        <v>0</v>
      </c>
      <c r="F838" t="s">
        <v>7</v>
      </c>
    </row>
    <row r="839" spans="1:6" x14ac:dyDescent="0.2">
      <c r="A839">
        <v>2</v>
      </c>
      <c r="B839">
        <v>1</v>
      </c>
      <c r="C839" t="s">
        <v>26</v>
      </c>
      <c r="D839" t="s">
        <v>9</v>
      </c>
      <c r="E839" t="b">
        <v>0</v>
      </c>
      <c r="F839" t="s">
        <v>7</v>
      </c>
    </row>
    <row r="840" spans="1:6" x14ac:dyDescent="0.2">
      <c r="A840">
        <v>2</v>
      </c>
      <c r="B840">
        <v>1</v>
      </c>
      <c r="C840" t="s">
        <v>8</v>
      </c>
      <c r="D840" t="s">
        <v>9</v>
      </c>
      <c r="E840" t="b">
        <v>0</v>
      </c>
      <c r="F840" t="s">
        <v>7</v>
      </c>
    </row>
    <row r="841" spans="1:6" x14ac:dyDescent="0.2">
      <c r="A841">
        <v>2</v>
      </c>
      <c r="B841">
        <v>1</v>
      </c>
      <c r="C841" t="s">
        <v>24</v>
      </c>
      <c r="D841" t="s">
        <v>9</v>
      </c>
      <c r="E841" t="b">
        <v>0</v>
      </c>
      <c r="F841" t="s">
        <v>7</v>
      </c>
    </row>
    <row r="842" spans="1:6" x14ac:dyDescent="0.2">
      <c r="A842">
        <v>2</v>
      </c>
      <c r="B842">
        <v>1</v>
      </c>
      <c r="C842" t="s">
        <v>25</v>
      </c>
      <c r="D842" t="s">
        <v>9</v>
      </c>
      <c r="E842" t="b">
        <v>0</v>
      </c>
      <c r="F842" t="s">
        <v>7</v>
      </c>
    </row>
    <row r="843" spans="1:6" x14ac:dyDescent="0.2">
      <c r="A843">
        <v>2</v>
      </c>
      <c r="B843">
        <v>1</v>
      </c>
      <c r="C843" t="s">
        <v>26</v>
      </c>
      <c r="D843" t="s">
        <v>9</v>
      </c>
      <c r="E843" t="b">
        <v>0</v>
      </c>
      <c r="F843" t="s">
        <v>7</v>
      </c>
    </row>
    <row r="844" spans="1:6" x14ac:dyDescent="0.2">
      <c r="A844">
        <v>2</v>
      </c>
      <c r="B844">
        <v>1</v>
      </c>
      <c r="C844" t="s">
        <v>8</v>
      </c>
      <c r="D844" t="s">
        <v>9</v>
      </c>
      <c r="E844" t="b">
        <v>0</v>
      </c>
      <c r="F844" t="s">
        <v>7</v>
      </c>
    </row>
    <row r="845" spans="1:6" x14ac:dyDescent="0.2">
      <c r="A845">
        <v>2</v>
      </c>
      <c r="B845">
        <v>1</v>
      </c>
      <c r="C845" t="s">
        <v>24</v>
      </c>
      <c r="D845" t="s">
        <v>9</v>
      </c>
      <c r="E845" t="b">
        <v>0</v>
      </c>
      <c r="F845" t="s">
        <v>7</v>
      </c>
    </row>
    <row r="846" spans="1:6" x14ac:dyDescent="0.2">
      <c r="A846">
        <v>2</v>
      </c>
      <c r="B846">
        <v>1</v>
      </c>
      <c r="C846" t="s">
        <v>25</v>
      </c>
      <c r="D846" t="s">
        <v>9</v>
      </c>
      <c r="E846" t="b">
        <v>0</v>
      </c>
      <c r="F846" t="s">
        <v>7</v>
      </c>
    </row>
    <row r="847" spans="1:6" x14ac:dyDescent="0.2">
      <c r="A847">
        <v>2</v>
      </c>
      <c r="B847">
        <v>1</v>
      </c>
      <c r="C847" t="s">
        <v>26</v>
      </c>
      <c r="D847" t="s">
        <v>9</v>
      </c>
      <c r="E847" t="b">
        <v>0</v>
      </c>
      <c r="F847" t="s">
        <v>7</v>
      </c>
    </row>
    <row r="848" spans="1:6" x14ac:dyDescent="0.2">
      <c r="A848">
        <v>2</v>
      </c>
      <c r="B848">
        <v>1</v>
      </c>
      <c r="C848" t="s">
        <v>8</v>
      </c>
      <c r="D848" t="s">
        <v>9</v>
      </c>
      <c r="E848" t="b">
        <v>0</v>
      </c>
      <c r="F848" t="s">
        <v>7</v>
      </c>
    </row>
    <row r="849" spans="1:6" x14ac:dyDescent="0.2">
      <c r="A849">
        <v>2</v>
      </c>
      <c r="B849">
        <v>1</v>
      </c>
      <c r="C849" t="s">
        <v>24</v>
      </c>
      <c r="D849" t="s">
        <v>9</v>
      </c>
      <c r="E849" t="b">
        <v>0</v>
      </c>
      <c r="F849" t="s">
        <v>7</v>
      </c>
    </row>
    <row r="850" spans="1:6" x14ac:dyDescent="0.2">
      <c r="A850">
        <v>2</v>
      </c>
      <c r="B850">
        <v>1</v>
      </c>
      <c r="C850" t="s">
        <v>25</v>
      </c>
      <c r="D850" t="s">
        <v>9</v>
      </c>
      <c r="E850" t="b">
        <v>0</v>
      </c>
      <c r="F850" t="s">
        <v>7</v>
      </c>
    </row>
    <row r="851" spans="1:6" x14ac:dyDescent="0.2">
      <c r="A851">
        <v>2</v>
      </c>
      <c r="B851">
        <v>1</v>
      </c>
      <c r="C851" t="s">
        <v>26</v>
      </c>
      <c r="D851" t="s">
        <v>9</v>
      </c>
      <c r="E851" t="b">
        <v>0</v>
      </c>
      <c r="F851" t="s">
        <v>7</v>
      </c>
    </row>
    <row r="852" spans="1:6" x14ac:dyDescent="0.2">
      <c r="A852">
        <v>2</v>
      </c>
      <c r="B852">
        <v>1</v>
      </c>
      <c r="C852" t="s">
        <v>8</v>
      </c>
      <c r="D852" t="s">
        <v>9</v>
      </c>
      <c r="E852" t="b">
        <v>0</v>
      </c>
      <c r="F852" t="s">
        <v>7</v>
      </c>
    </row>
    <row r="853" spans="1:6" x14ac:dyDescent="0.2">
      <c r="A853">
        <v>2</v>
      </c>
      <c r="B853">
        <v>1</v>
      </c>
      <c r="C853" t="s">
        <v>24</v>
      </c>
      <c r="D853" t="s">
        <v>9</v>
      </c>
      <c r="E853" t="b">
        <v>0</v>
      </c>
      <c r="F853" t="s">
        <v>7</v>
      </c>
    </row>
    <row r="854" spans="1:6" x14ac:dyDescent="0.2">
      <c r="A854">
        <v>2</v>
      </c>
      <c r="B854">
        <v>1</v>
      </c>
      <c r="C854" t="s">
        <v>25</v>
      </c>
      <c r="D854" t="s">
        <v>9</v>
      </c>
      <c r="E854" t="b">
        <v>0</v>
      </c>
      <c r="F854" t="s">
        <v>7</v>
      </c>
    </row>
    <row r="855" spans="1:6" x14ac:dyDescent="0.2">
      <c r="A855">
        <v>2</v>
      </c>
      <c r="B855">
        <v>1</v>
      </c>
      <c r="C855" t="s">
        <v>26</v>
      </c>
      <c r="D855" t="s">
        <v>9</v>
      </c>
      <c r="E855" t="b">
        <v>0</v>
      </c>
      <c r="F855" t="s">
        <v>7</v>
      </c>
    </row>
    <row r="856" spans="1:6" x14ac:dyDescent="0.2">
      <c r="A856">
        <v>2</v>
      </c>
      <c r="B856">
        <v>1</v>
      </c>
      <c r="C856" t="s">
        <v>8</v>
      </c>
      <c r="D856" t="s">
        <v>9</v>
      </c>
      <c r="E856" t="b">
        <v>0</v>
      </c>
      <c r="F856" t="s">
        <v>7</v>
      </c>
    </row>
    <row r="857" spans="1:6" x14ac:dyDescent="0.2">
      <c r="A857">
        <v>2</v>
      </c>
      <c r="B857">
        <v>1</v>
      </c>
      <c r="C857" t="s">
        <v>24</v>
      </c>
      <c r="D857" t="s">
        <v>9</v>
      </c>
      <c r="E857" t="b">
        <v>0</v>
      </c>
      <c r="F857" t="s">
        <v>7</v>
      </c>
    </row>
    <row r="858" spans="1:6" x14ac:dyDescent="0.2">
      <c r="A858">
        <v>2</v>
      </c>
      <c r="B858">
        <v>1</v>
      </c>
      <c r="C858" t="s">
        <v>25</v>
      </c>
      <c r="D858" t="s">
        <v>9</v>
      </c>
      <c r="E858" t="b">
        <v>0</v>
      </c>
      <c r="F858" t="s">
        <v>7</v>
      </c>
    </row>
    <row r="859" spans="1:6" x14ac:dyDescent="0.2">
      <c r="A859">
        <v>2</v>
      </c>
      <c r="B859">
        <v>1</v>
      </c>
      <c r="C859" t="s">
        <v>26</v>
      </c>
      <c r="D859" t="s">
        <v>9</v>
      </c>
      <c r="E859" t="b">
        <v>0</v>
      </c>
      <c r="F859" t="s">
        <v>7</v>
      </c>
    </row>
    <row r="860" spans="1:6" x14ac:dyDescent="0.2">
      <c r="A860">
        <v>2</v>
      </c>
      <c r="B860">
        <v>1</v>
      </c>
      <c r="C860" t="s">
        <v>8</v>
      </c>
      <c r="D860" t="s">
        <v>9</v>
      </c>
      <c r="E860" t="b">
        <v>0</v>
      </c>
      <c r="F860" t="s">
        <v>7</v>
      </c>
    </row>
    <row r="861" spans="1:6" x14ac:dyDescent="0.2">
      <c r="A861">
        <v>2</v>
      </c>
      <c r="B861">
        <v>1</v>
      </c>
      <c r="C861" t="s">
        <v>24</v>
      </c>
      <c r="D861" t="s">
        <v>9</v>
      </c>
      <c r="E861" t="b">
        <v>0</v>
      </c>
      <c r="F861" t="s">
        <v>7</v>
      </c>
    </row>
    <row r="862" spans="1:6" x14ac:dyDescent="0.2">
      <c r="A862">
        <v>2</v>
      </c>
      <c r="B862">
        <v>1</v>
      </c>
      <c r="C862" t="s">
        <v>25</v>
      </c>
      <c r="D862" t="s">
        <v>9</v>
      </c>
      <c r="E862" t="b">
        <v>0</v>
      </c>
      <c r="F862" t="s">
        <v>7</v>
      </c>
    </row>
    <row r="863" spans="1:6" x14ac:dyDescent="0.2">
      <c r="A863">
        <v>2</v>
      </c>
      <c r="B863">
        <v>1</v>
      </c>
      <c r="C863" t="s">
        <v>26</v>
      </c>
      <c r="D863" t="s">
        <v>9</v>
      </c>
      <c r="E863" t="b">
        <v>0</v>
      </c>
      <c r="F863" t="s">
        <v>7</v>
      </c>
    </row>
    <row r="864" spans="1:6" x14ac:dyDescent="0.2">
      <c r="A864">
        <v>2</v>
      </c>
      <c r="B864">
        <v>1</v>
      </c>
      <c r="C864" t="s">
        <v>8</v>
      </c>
      <c r="D864" t="s">
        <v>9</v>
      </c>
      <c r="E864" t="b">
        <v>0</v>
      </c>
      <c r="F864" t="s">
        <v>7</v>
      </c>
    </row>
    <row r="865" spans="1:6" x14ac:dyDescent="0.2">
      <c r="A865">
        <v>2</v>
      </c>
      <c r="B865">
        <v>1</v>
      </c>
      <c r="C865" t="s">
        <v>24</v>
      </c>
      <c r="D865" t="s">
        <v>9</v>
      </c>
      <c r="E865" t="b">
        <v>0</v>
      </c>
      <c r="F865" t="s">
        <v>7</v>
      </c>
    </row>
    <row r="866" spans="1:6" x14ac:dyDescent="0.2">
      <c r="A866">
        <v>2</v>
      </c>
      <c r="B866">
        <v>1</v>
      </c>
      <c r="C866" t="s">
        <v>25</v>
      </c>
      <c r="D866" t="s">
        <v>9</v>
      </c>
      <c r="E866" t="b">
        <v>0</v>
      </c>
      <c r="F866" t="s">
        <v>7</v>
      </c>
    </row>
    <row r="867" spans="1:6" x14ac:dyDescent="0.2">
      <c r="A867">
        <v>2</v>
      </c>
      <c r="B867">
        <v>1</v>
      </c>
      <c r="C867" t="s">
        <v>26</v>
      </c>
      <c r="D867" t="s">
        <v>9</v>
      </c>
      <c r="E867" t="b">
        <v>0</v>
      </c>
      <c r="F867" t="s">
        <v>7</v>
      </c>
    </row>
    <row r="868" spans="1:6" x14ac:dyDescent="0.2">
      <c r="A868">
        <v>2</v>
      </c>
      <c r="B868">
        <v>1</v>
      </c>
      <c r="C868" t="s">
        <v>8</v>
      </c>
      <c r="D868" t="s">
        <v>9</v>
      </c>
      <c r="E868" t="b">
        <v>0</v>
      </c>
      <c r="F868" t="s">
        <v>7</v>
      </c>
    </row>
    <row r="869" spans="1:6" x14ac:dyDescent="0.2">
      <c r="A869">
        <v>2</v>
      </c>
      <c r="B869">
        <v>1</v>
      </c>
      <c r="C869" t="s">
        <v>24</v>
      </c>
      <c r="D869" t="s">
        <v>9</v>
      </c>
      <c r="E869" t="b">
        <v>0</v>
      </c>
      <c r="F869" t="s">
        <v>7</v>
      </c>
    </row>
    <row r="870" spans="1:6" x14ac:dyDescent="0.2">
      <c r="A870">
        <v>2</v>
      </c>
      <c r="B870">
        <v>1</v>
      </c>
      <c r="C870" t="s">
        <v>25</v>
      </c>
      <c r="D870" t="s">
        <v>9</v>
      </c>
      <c r="E870" t="b">
        <v>0</v>
      </c>
      <c r="F870" t="s">
        <v>7</v>
      </c>
    </row>
    <row r="871" spans="1:6" x14ac:dyDescent="0.2">
      <c r="A871">
        <v>2</v>
      </c>
      <c r="B871">
        <v>1</v>
      </c>
      <c r="C871" t="s">
        <v>26</v>
      </c>
      <c r="D871" t="s">
        <v>9</v>
      </c>
      <c r="E871" t="b">
        <v>0</v>
      </c>
      <c r="F871" t="s">
        <v>7</v>
      </c>
    </row>
    <row r="872" spans="1:6" x14ac:dyDescent="0.2">
      <c r="A872">
        <v>2</v>
      </c>
      <c r="B872">
        <v>1</v>
      </c>
      <c r="C872" t="s">
        <v>8</v>
      </c>
      <c r="D872" t="s">
        <v>9</v>
      </c>
      <c r="E872" t="b">
        <v>0</v>
      </c>
      <c r="F872" t="s">
        <v>7</v>
      </c>
    </row>
    <row r="873" spans="1:6" x14ac:dyDescent="0.2">
      <c r="A873">
        <v>2</v>
      </c>
      <c r="B873">
        <v>1</v>
      </c>
      <c r="C873" t="s">
        <v>24</v>
      </c>
      <c r="D873" t="s">
        <v>9</v>
      </c>
      <c r="E873" t="b">
        <v>0</v>
      </c>
      <c r="F873" t="s">
        <v>7</v>
      </c>
    </row>
    <row r="874" spans="1:6" x14ac:dyDescent="0.2">
      <c r="A874">
        <v>2</v>
      </c>
      <c r="B874">
        <v>1</v>
      </c>
      <c r="C874" t="s">
        <v>25</v>
      </c>
      <c r="D874" t="s">
        <v>9</v>
      </c>
      <c r="E874" t="b">
        <v>0</v>
      </c>
      <c r="F874" t="s">
        <v>7</v>
      </c>
    </row>
    <row r="875" spans="1:6" x14ac:dyDescent="0.2">
      <c r="A875">
        <v>2</v>
      </c>
      <c r="B875">
        <v>1</v>
      </c>
      <c r="C875" t="s">
        <v>26</v>
      </c>
      <c r="D875" t="s">
        <v>9</v>
      </c>
      <c r="E875" t="b">
        <v>0</v>
      </c>
      <c r="F875" t="s">
        <v>7</v>
      </c>
    </row>
    <row r="876" spans="1:6" x14ac:dyDescent="0.2">
      <c r="A876">
        <v>2</v>
      </c>
      <c r="B876">
        <v>1</v>
      </c>
      <c r="C876" t="s">
        <v>8</v>
      </c>
      <c r="D876" t="s">
        <v>9</v>
      </c>
      <c r="E876" t="b">
        <v>0</v>
      </c>
      <c r="F876" t="s">
        <v>7</v>
      </c>
    </row>
    <row r="877" spans="1:6" x14ac:dyDescent="0.2">
      <c r="A877">
        <v>2</v>
      </c>
      <c r="B877">
        <v>1</v>
      </c>
      <c r="C877" t="s">
        <v>24</v>
      </c>
      <c r="D877" t="s">
        <v>9</v>
      </c>
      <c r="E877" t="b">
        <v>0</v>
      </c>
      <c r="F877" t="s">
        <v>7</v>
      </c>
    </row>
    <row r="878" spans="1:6" x14ac:dyDescent="0.2">
      <c r="A878">
        <v>2</v>
      </c>
      <c r="B878">
        <v>1</v>
      </c>
      <c r="C878" t="s">
        <v>25</v>
      </c>
      <c r="D878" t="s">
        <v>9</v>
      </c>
      <c r="E878" t="b">
        <v>0</v>
      </c>
      <c r="F878" t="s">
        <v>7</v>
      </c>
    </row>
    <row r="879" spans="1:6" x14ac:dyDescent="0.2">
      <c r="A879">
        <v>2</v>
      </c>
      <c r="B879">
        <v>1</v>
      </c>
      <c r="C879" t="s">
        <v>26</v>
      </c>
      <c r="D879" t="s">
        <v>9</v>
      </c>
      <c r="E879" t="b">
        <v>0</v>
      </c>
      <c r="F879" t="s">
        <v>7</v>
      </c>
    </row>
    <row r="880" spans="1:6" x14ac:dyDescent="0.2">
      <c r="A880">
        <v>2</v>
      </c>
      <c r="B880">
        <v>1</v>
      </c>
      <c r="C880" t="s">
        <v>8</v>
      </c>
      <c r="D880" t="s">
        <v>9</v>
      </c>
      <c r="E880" t="b">
        <v>0</v>
      </c>
      <c r="F880" t="s">
        <v>7</v>
      </c>
    </row>
    <row r="881" spans="1:6" x14ac:dyDescent="0.2">
      <c r="A881">
        <v>2</v>
      </c>
      <c r="B881">
        <v>1</v>
      </c>
      <c r="C881" t="s">
        <v>24</v>
      </c>
      <c r="D881" t="s">
        <v>9</v>
      </c>
      <c r="E881" t="b">
        <v>0</v>
      </c>
      <c r="F881" t="s">
        <v>7</v>
      </c>
    </row>
    <row r="882" spans="1:6" x14ac:dyDescent="0.2">
      <c r="A882">
        <v>2</v>
      </c>
      <c r="B882">
        <v>1</v>
      </c>
      <c r="C882" t="s">
        <v>25</v>
      </c>
      <c r="D882" t="s">
        <v>9</v>
      </c>
      <c r="E882" t="b">
        <v>0</v>
      </c>
      <c r="F882" t="s">
        <v>7</v>
      </c>
    </row>
    <row r="883" spans="1:6" x14ac:dyDescent="0.2">
      <c r="A883">
        <v>2</v>
      </c>
      <c r="B883">
        <v>1</v>
      </c>
      <c r="C883" t="s">
        <v>26</v>
      </c>
      <c r="D883" t="s">
        <v>9</v>
      </c>
      <c r="E883" t="b">
        <v>0</v>
      </c>
      <c r="F883" t="s">
        <v>7</v>
      </c>
    </row>
    <row r="884" spans="1:6" x14ac:dyDescent="0.2">
      <c r="A884">
        <v>2</v>
      </c>
      <c r="B884">
        <v>1</v>
      </c>
      <c r="C884" t="s">
        <v>8</v>
      </c>
      <c r="D884" t="s">
        <v>9</v>
      </c>
      <c r="E884" t="b">
        <v>0</v>
      </c>
      <c r="F884" t="s">
        <v>7</v>
      </c>
    </row>
    <row r="885" spans="1:6" x14ac:dyDescent="0.2">
      <c r="A885">
        <v>2</v>
      </c>
      <c r="B885">
        <v>1</v>
      </c>
      <c r="C885" t="s">
        <v>24</v>
      </c>
      <c r="D885" t="s">
        <v>9</v>
      </c>
      <c r="E885" t="b">
        <v>0</v>
      </c>
      <c r="F885" t="s">
        <v>7</v>
      </c>
    </row>
    <row r="886" spans="1:6" x14ac:dyDescent="0.2">
      <c r="A886">
        <v>2</v>
      </c>
      <c r="B886">
        <v>1</v>
      </c>
      <c r="C886" t="s">
        <v>25</v>
      </c>
      <c r="D886" t="s">
        <v>9</v>
      </c>
      <c r="E886" t="b">
        <v>0</v>
      </c>
      <c r="F886" t="s">
        <v>7</v>
      </c>
    </row>
    <row r="887" spans="1:6" x14ac:dyDescent="0.2">
      <c r="A887">
        <v>20</v>
      </c>
      <c r="B887">
        <v>5</v>
      </c>
      <c r="C887" t="s">
        <v>13</v>
      </c>
      <c r="D887" t="s">
        <v>14</v>
      </c>
      <c r="E887" t="b">
        <v>0</v>
      </c>
      <c r="F887" t="s">
        <v>7</v>
      </c>
    </row>
    <row r="888" spans="1:6" x14ac:dyDescent="0.2">
      <c r="A888">
        <v>100</v>
      </c>
      <c r="B888">
        <v>10</v>
      </c>
      <c r="C888" t="s">
        <v>18</v>
      </c>
      <c r="D888" t="s">
        <v>12</v>
      </c>
      <c r="E888" t="b">
        <v>0</v>
      </c>
      <c r="F888" t="s">
        <v>7</v>
      </c>
    </row>
    <row r="889" spans="1:6" x14ac:dyDescent="0.2">
      <c r="A889">
        <v>100</v>
      </c>
      <c r="B889">
        <v>10</v>
      </c>
      <c r="C889" t="s">
        <v>6</v>
      </c>
      <c r="D889" t="s">
        <v>12</v>
      </c>
      <c r="E889" t="b">
        <v>0</v>
      </c>
      <c r="F889" t="s">
        <v>7</v>
      </c>
    </row>
    <row r="890" spans="1:6" x14ac:dyDescent="0.2">
      <c r="A890">
        <v>100</v>
      </c>
      <c r="B890">
        <v>10</v>
      </c>
      <c r="C890" t="s">
        <v>14</v>
      </c>
      <c r="D890" t="s">
        <v>12</v>
      </c>
      <c r="E890" t="b">
        <v>0</v>
      </c>
      <c r="F890" t="s">
        <v>7</v>
      </c>
    </row>
    <row r="891" spans="1:6" x14ac:dyDescent="0.2">
      <c r="A891">
        <v>100</v>
      </c>
      <c r="B891">
        <v>10</v>
      </c>
      <c r="C891" t="s">
        <v>19</v>
      </c>
      <c r="D891" t="s">
        <v>12</v>
      </c>
      <c r="E891" t="b">
        <v>0</v>
      </c>
      <c r="F891" t="s">
        <v>7</v>
      </c>
    </row>
    <row r="892" spans="1:6" x14ac:dyDescent="0.2">
      <c r="A892">
        <v>100</v>
      </c>
      <c r="B892">
        <v>10</v>
      </c>
      <c r="C892" t="s">
        <v>17</v>
      </c>
      <c r="D892" t="s">
        <v>12</v>
      </c>
      <c r="E892" t="b">
        <v>0</v>
      </c>
      <c r="F892" t="s">
        <v>7</v>
      </c>
    </row>
    <row r="893" spans="1:6" x14ac:dyDescent="0.2">
      <c r="A893">
        <v>1</v>
      </c>
      <c r="B893">
        <v>1</v>
      </c>
      <c r="C893" t="s">
        <v>10</v>
      </c>
      <c r="D893" t="s">
        <v>11</v>
      </c>
      <c r="E893" t="b">
        <v>0</v>
      </c>
      <c r="F893" t="s">
        <v>7</v>
      </c>
    </row>
    <row r="894" spans="1:6" x14ac:dyDescent="0.2">
      <c r="A894">
        <v>100</v>
      </c>
      <c r="B894">
        <v>10</v>
      </c>
      <c r="C894" t="s">
        <v>22</v>
      </c>
      <c r="D894" t="s">
        <v>12</v>
      </c>
      <c r="E894" t="b">
        <v>0</v>
      </c>
      <c r="F894" t="s">
        <v>7</v>
      </c>
    </row>
    <row r="895" spans="1:6" x14ac:dyDescent="0.2">
      <c r="A895">
        <v>1</v>
      </c>
      <c r="B895">
        <v>1</v>
      </c>
      <c r="C895" t="s">
        <v>10</v>
      </c>
      <c r="D895" t="s">
        <v>11</v>
      </c>
      <c r="E895" t="b">
        <v>0</v>
      </c>
      <c r="F895" t="s">
        <v>7</v>
      </c>
    </row>
    <row r="896" spans="1:6" x14ac:dyDescent="0.2">
      <c r="A896">
        <v>1</v>
      </c>
      <c r="B896">
        <v>1</v>
      </c>
      <c r="C896" t="s">
        <v>10</v>
      </c>
      <c r="D896" t="s">
        <v>11</v>
      </c>
      <c r="E896" t="b">
        <v>0</v>
      </c>
      <c r="F896" t="s">
        <v>7</v>
      </c>
    </row>
    <row r="897" spans="1:6" x14ac:dyDescent="0.2">
      <c r="A897">
        <v>100</v>
      </c>
      <c r="B897">
        <v>10</v>
      </c>
      <c r="C897" t="s">
        <v>27</v>
      </c>
      <c r="D897" t="s">
        <v>12</v>
      </c>
      <c r="E897" t="b">
        <v>0</v>
      </c>
      <c r="F897" t="s">
        <v>7</v>
      </c>
    </row>
    <row r="898" spans="1:6" x14ac:dyDescent="0.2">
      <c r="A898">
        <v>0</v>
      </c>
      <c r="B898">
        <v>0</v>
      </c>
      <c r="C898" t="s">
        <v>6</v>
      </c>
      <c r="D898" t="s">
        <v>6</v>
      </c>
      <c r="E898" t="b">
        <v>0</v>
      </c>
      <c r="F898" t="s">
        <v>7</v>
      </c>
    </row>
    <row r="899" spans="1:6" x14ac:dyDescent="0.2">
      <c r="A899">
        <v>0</v>
      </c>
      <c r="B899">
        <v>0</v>
      </c>
      <c r="C899" t="s">
        <v>6</v>
      </c>
      <c r="D899" t="s">
        <v>6</v>
      </c>
      <c r="E899" t="b">
        <v>0</v>
      </c>
      <c r="F899" t="s">
        <v>7</v>
      </c>
    </row>
    <row r="900" spans="1:6" x14ac:dyDescent="0.2">
      <c r="A900">
        <v>0</v>
      </c>
      <c r="B900">
        <v>0</v>
      </c>
      <c r="C900" t="s">
        <v>6</v>
      </c>
      <c r="D900" t="s">
        <v>6</v>
      </c>
      <c r="E900" t="b">
        <v>0</v>
      </c>
      <c r="F900" t="s">
        <v>7</v>
      </c>
    </row>
    <row r="901" spans="1:6" x14ac:dyDescent="0.2">
      <c r="A901">
        <v>0</v>
      </c>
      <c r="B901">
        <v>0</v>
      </c>
      <c r="C901" t="s">
        <v>6</v>
      </c>
      <c r="D901" t="s">
        <v>6</v>
      </c>
      <c r="E901" t="b">
        <v>0</v>
      </c>
      <c r="F901" t="s">
        <v>7</v>
      </c>
    </row>
    <row r="902" spans="1:6" x14ac:dyDescent="0.2">
      <c r="A902">
        <v>0</v>
      </c>
      <c r="B902">
        <v>0</v>
      </c>
      <c r="C902" t="s">
        <v>6</v>
      </c>
      <c r="D902" t="s">
        <v>6</v>
      </c>
      <c r="E902" t="b">
        <v>0</v>
      </c>
      <c r="F902" t="s">
        <v>7</v>
      </c>
    </row>
    <row r="903" spans="1:6" x14ac:dyDescent="0.2">
      <c r="A903">
        <v>0</v>
      </c>
      <c r="B903">
        <v>0</v>
      </c>
      <c r="C903" t="s">
        <v>6</v>
      </c>
      <c r="D903" t="s">
        <v>6</v>
      </c>
      <c r="E903" t="b">
        <v>0</v>
      </c>
      <c r="F903" t="s">
        <v>7</v>
      </c>
    </row>
    <row r="904" spans="1:6" x14ac:dyDescent="0.2">
      <c r="A904">
        <v>0</v>
      </c>
      <c r="B904">
        <v>0</v>
      </c>
      <c r="C904" t="s">
        <v>6</v>
      </c>
      <c r="D904" t="s">
        <v>6</v>
      </c>
      <c r="E904" t="b">
        <v>0</v>
      </c>
      <c r="F904" t="s">
        <v>7</v>
      </c>
    </row>
    <row r="905" spans="1:6" x14ac:dyDescent="0.2">
      <c r="A905">
        <v>0</v>
      </c>
      <c r="B905">
        <v>0</v>
      </c>
      <c r="C905" t="s">
        <v>6</v>
      </c>
      <c r="D905" t="s">
        <v>6</v>
      </c>
      <c r="E905" t="b">
        <v>0</v>
      </c>
      <c r="F905" t="s">
        <v>7</v>
      </c>
    </row>
    <row r="906" spans="1:6" x14ac:dyDescent="0.2">
      <c r="A906">
        <v>0</v>
      </c>
      <c r="B906">
        <v>0</v>
      </c>
      <c r="C906" t="s">
        <v>6</v>
      </c>
      <c r="D906" t="s">
        <v>6</v>
      </c>
      <c r="E906" t="b">
        <v>0</v>
      </c>
      <c r="F906" t="s">
        <v>7</v>
      </c>
    </row>
    <row r="907" spans="1:6" x14ac:dyDescent="0.2">
      <c r="A907">
        <v>0</v>
      </c>
      <c r="B907">
        <v>0</v>
      </c>
      <c r="C907" t="s">
        <v>6</v>
      </c>
      <c r="D907" t="s">
        <v>6</v>
      </c>
      <c r="E907" t="b">
        <v>0</v>
      </c>
      <c r="F907" t="s">
        <v>7</v>
      </c>
    </row>
    <row r="908" spans="1:6" x14ac:dyDescent="0.2">
      <c r="A908">
        <v>0</v>
      </c>
      <c r="B908">
        <v>0</v>
      </c>
      <c r="C908" t="s">
        <v>6</v>
      </c>
      <c r="D908" t="s">
        <v>6</v>
      </c>
      <c r="E908" t="b">
        <v>0</v>
      </c>
      <c r="F908" t="s">
        <v>7</v>
      </c>
    </row>
    <row r="909" spans="1:6" x14ac:dyDescent="0.2">
      <c r="A909">
        <v>0</v>
      </c>
      <c r="B909">
        <v>0</v>
      </c>
      <c r="C909" t="s">
        <v>6</v>
      </c>
      <c r="D909" t="s">
        <v>6</v>
      </c>
      <c r="E909" t="b">
        <v>0</v>
      </c>
      <c r="F909" t="s">
        <v>7</v>
      </c>
    </row>
    <row r="910" spans="1:6" x14ac:dyDescent="0.2">
      <c r="A910">
        <v>0</v>
      </c>
      <c r="B910">
        <v>0</v>
      </c>
      <c r="C910" t="s">
        <v>6</v>
      </c>
      <c r="D910" t="s">
        <v>6</v>
      </c>
      <c r="E910" t="b">
        <v>0</v>
      </c>
      <c r="F910" t="s">
        <v>7</v>
      </c>
    </row>
    <row r="911" spans="1:6" x14ac:dyDescent="0.2">
      <c r="A911">
        <v>0</v>
      </c>
      <c r="B911">
        <v>0</v>
      </c>
      <c r="C911" t="s">
        <v>6</v>
      </c>
      <c r="D911" t="s">
        <v>6</v>
      </c>
      <c r="E911" t="b">
        <v>0</v>
      </c>
      <c r="F911" t="s">
        <v>7</v>
      </c>
    </row>
    <row r="912" spans="1:6" x14ac:dyDescent="0.2">
      <c r="A912">
        <v>0</v>
      </c>
      <c r="B912">
        <v>0</v>
      </c>
      <c r="C912" t="s">
        <v>6</v>
      </c>
      <c r="D912" t="s">
        <v>6</v>
      </c>
      <c r="E912" t="b">
        <v>0</v>
      </c>
      <c r="F912" t="s">
        <v>7</v>
      </c>
    </row>
    <row r="913" spans="1:6" x14ac:dyDescent="0.2">
      <c r="A913">
        <v>0</v>
      </c>
      <c r="B913">
        <v>0</v>
      </c>
      <c r="C913" t="s">
        <v>6</v>
      </c>
      <c r="D913" t="s">
        <v>6</v>
      </c>
      <c r="E913" t="b">
        <v>0</v>
      </c>
      <c r="F913" t="s">
        <v>7</v>
      </c>
    </row>
    <row r="914" spans="1:6" x14ac:dyDescent="0.2">
      <c r="A914">
        <v>0</v>
      </c>
      <c r="B914">
        <v>0</v>
      </c>
      <c r="C914" t="s">
        <v>6</v>
      </c>
      <c r="D914" t="s">
        <v>6</v>
      </c>
      <c r="E914" t="b">
        <v>0</v>
      </c>
      <c r="F914" t="s">
        <v>7</v>
      </c>
    </row>
    <row r="915" spans="1:6" x14ac:dyDescent="0.2">
      <c r="A915">
        <v>0</v>
      </c>
      <c r="B915">
        <v>0</v>
      </c>
      <c r="C915" t="s">
        <v>6</v>
      </c>
      <c r="D915" t="s">
        <v>6</v>
      </c>
      <c r="E915" t="b">
        <v>0</v>
      </c>
      <c r="F915" t="s">
        <v>7</v>
      </c>
    </row>
    <row r="916" spans="1:6" x14ac:dyDescent="0.2">
      <c r="A916">
        <v>0</v>
      </c>
      <c r="B916">
        <v>0</v>
      </c>
      <c r="C916" t="s">
        <v>6</v>
      </c>
      <c r="D916" t="s">
        <v>6</v>
      </c>
      <c r="E916" t="b">
        <v>0</v>
      </c>
      <c r="F916" t="s">
        <v>7</v>
      </c>
    </row>
    <row r="917" spans="1:6" x14ac:dyDescent="0.2">
      <c r="A917">
        <v>0</v>
      </c>
      <c r="B917">
        <v>0</v>
      </c>
      <c r="C917" t="s">
        <v>6</v>
      </c>
      <c r="D917" t="s">
        <v>6</v>
      </c>
      <c r="E917" t="b">
        <v>0</v>
      </c>
      <c r="F917" t="s">
        <v>7</v>
      </c>
    </row>
    <row r="918" spans="1:6" x14ac:dyDescent="0.2">
      <c r="A918">
        <v>0</v>
      </c>
      <c r="B918">
        <v>0</v>
      </c>
      <c r="C918" t="s">
        <v>6</v>
      </c>
      <c r="D918" t="s">
        <v>6</v>
      </c>
      <c r="E918" t="b">
        <v>0</v>
      </c>
      <c r="F918" t="s">
        <v>7</v>
      </c>
    </row>
    <row r="919" spans="1:6" x14ac:dyDescent="0.2">
      <c r="A919">
        <v>0</v>
      </c>
      <c r="B919">
        <v>0</v>
      </c>
      <c r="C919" t="s">
        <v>6</v>
      </c>
      <c r="D919" t="s">
        <v>6</v>
      </c>
      <c r="E919" t="b">
        <v>0</v>
      </c>
      <c r="F919" t="s">
        <v>7</v>
      </c>
    </row>
    <row r="920" spans="1:6" x14ac:dyDescent="0.2">
      <c r="A920">
        <v>0</v>
      </c>
      <c r="B920">
        <v>0</v>
      </c>
      <c r="C920" t="s">
        <v>6</v>
      </c>
      <c r="D920" t="s">
        <v>6</v>
      </c>
      <c r="E920" t="b">
        <v>0</v>
      </c>
      <c r="F920" t="s">
        <v>7</v>
      </c>
    </row>
    <row r="921" spans="1:6" x14ac:dyDescent="0.2">
      <c r="A921">
        <v>1</v>
      </c>
      <c r="B921">
        <v>1</v>
      </c>
      <c r="C921" t="s">
        <v>10</v>
      </c>
      <c r="D921" t="s">
        <v>11</v>
      </c>
      <c r="E921" t="b">
        <v>0</v>
      </c>
      <c r="F921" t="s">
        <v>7</v>
      </c>
    </row>
    <row r="922" spans="1:6" x14ac:dyDescent="0.2">
      <c r="A922">
        <v>1</v>
      </c>
      <c r="B922">
        <v>1</v>
      </c>
      <c r="C922" t="s">
        <v>10</v>
      </c>
      <c r="D922" t="s">
        <v>11</v>
      </c>
      <c r="E922" t="b">
        <v>0</v>
      </c>
      <c r="F922" t="s">
        <v>7</v>
      </c>
    </row>
    <row r="923" spans="1:6" x14ac:dyDescent="0.2">
      <c r="A923">
        <v>0</v>
      </c>
      <c r="B923">
        <v>0</v>
      </c>
      <c r="C923" t="s">
        <v>6</v>
      </c>
      <c r="D923" t="s">
        <v>6</v>
      </c>
      <c r="E923" t="b">
        <v>0</v>
      </c>
      <c r="F923" t="s">
        <v>7</v>
      </c>
    </row>
    <row r="924" spans="1:6" x14ac:dyDescent="0.2">
      <c r="A924">
        <v>0</v>
      </c>
      <c r="B924">
        <v>0</v>
      </c>
      <c r="C924" t="s">
        <v>6</v>
      </c>
      <c r="D924" t="s">
        <v>6</v>
      </c>
      <c r="E924" t="b">
        <v>0</v>
      </c>
      <c r="F924" t="s">
        <v>7</v>
      </c>
    </row>
    <row r="925" spans="1:6" x14ac:dyDescent="0.2">
      <c r="A925">
        <v>0</v>
      </c>
      <c r="B925">
        <v>0</v>
      </c>
      <c r="C925" t="s">
        <v>6</v>
      </c>
      <c r="D925" t="s">
        <v>6</v>
      </c>
      <c r="E925" t="b">
        <v>0</v>
      </c>
      <c r="F925" t="s">
        <v>7</v>
      </c>
    </row>
    <row r="926" spans="1:6" x14ac:dyDescent="0.2">
      <c r="A926">
        <v>0</v>
      </c>
      <c r="B926">
        <v>0</v>
      </c>
      <c r="C926" t="s">
        <v>6</v>
      </c>
      <c r="D926" t="s">
        <v>6</v>
      </c>
      <c r="E926" t="b">
        <v>0</v>
      </c>
      <c r="F926" t="s">
        <v>7</v>
      </c>
    </row>
    <row r="927" spans="1:6" x14ac:dyDescent="0.2">
      <c r="A927">
        <v>0</v>
      </c>
      <c r="B927">
        <v>0</v>
      </c>
      <c r="C927" t="s">
        <v>6</v>
      </c>
      <c r="D927" t="s">
        <v>6</v>
      </c>
      <c r="E927" t="b">
        <v>0</v>
      </c>
      <c r="F927" t="s">
        <v>7</v>
      </c>
    </row>
    <row r="928" spans="1:6" x14ac:dyDescent="0.2">
      <c r="A928">
        <v>0</v>
      </c>
      <c r="B928">
        <v>0</v>
      </c>
      <c r="C928" t="s">
        <v>6</v>
      </c>
      <c r="D928" t="s">
        <v>6</v>
      </c>
      <c r="E928" t="b">
        <v>0</v>
      </c>
      <c r="F928" t="s">
        <v>7</v>
      </c>
    </row>
    <row r="929" spans="1:6" x14ac:dyDescent="0.2">
      <c r="A929">
        <v>0</v>
      </c>
      <c r="B929">
        <v>0</v>
      </c>
      <c r="C929" t="s">
        <v>6</v>
      </c>
      <c r="D929" t="s">
        <v>6</v>
      </c>
      <c r="E929" t="b">
        <v>0</v>
      </c>
      <c r="F929" t="s">
        <v>7</v>
      </c>
    </row>
    <row r="930" spans="1:6" x14ac:dyDescent="0.2">
      <c r="A930">
        <v>0</v>
      </c>
      <c r="B930">
        <v>0</v>
      </c>
      <c r="C930" t="s">
        <v>6</v>
      </c>
      <c r="D930" t="s">
        <v>6</v>
      </c>
      <c r="E930" t="b">
        <v>0</v>
      </c>
      <c r="F930" t="s">
        <v>7</v>
      </c>
    </row>
    <row r="931" spans="1:6" x14ac:dyDescent="0.2">
      <c r="A931">
        <v>0</v>
      </c>
      <c r="B931">
        <v>0</v>
      </c>
      <c r="C931" t="s">
        <v>6</v>
      </c>
      <c r="D931" t="s">
        <v>6</v>
      </c>
      <c r="E931" t="b">
        <v>0</v>
      </c>
      <c r="F931" t="s">
        <v>7</v>
      </c>
    </row>
    <row r="932" spans="1:6" x14ac:dyDescent="0.2">
      <c r="A932">
        <v>0</v>
      </c>
      <c r="B932">
        <v>0</v>
      </c>
      <c r="C932" t="s">
        <v>6</v>
      </c>
      <c r="D932" t="s">
        <v>6</v>
      </c>
      <c r="E932" t="b">
        <v>0</v>
      </c>
      <c r="F932" t="s">
        <v>7</v>
      </c>
    </row>
    <row r="933" spans="1:6" x14ac:dyDescent="0.2">
      <c r="A933">
        <v>0</v>
      </c>
      <c r="B933">
        <v>0</v>
      </c>
      <c r="C933" t="s">
        <v>6</v>
      </c>
      <c r="D933" t="s">
        <v>6</v>
      </c>
      <c r="E933" t="b">
        <v>0</v>
      </c>
      <c r="F933" t="s">
        <v>7</v>
      </c>
    </row>
    <row r="934" spans="1:6" x14ac:dyDescent="0.2">
      <c r="A934">
        <v>0</v>
      </c>
      <c r="B934">
        <v>0</v>
      </c>
      <c r="C934" t="s">
        <v>6</v>
      </c>
      <c r="D934" t="s">
        <v>6</v>
      </c>
      <c r="E934" t="b">
        <v>0</v>
      </c>
      <c r="F934" t="s">
        <v>7</v>
      </c>
    </row>
    <row r="935" spans="1:6" x14ac:dyDescent="0.2">
      <c r="A935">
        <v>0</v>
      </c>
      <c r="B935">
        <v>0</v>
      </c>
      <c r="C935" t="s">
        <v>6</v>
      </c>
      <c r="D935" t="s">
        <v>6</v>
      </c>
      <c r="E935" t="b">
        <v>0</v>
      </c>
      <c r="F935" t="s">
        <v>7</v>
      </c>
    </row>
    <row r="936" spans="1:6" x14ac:dyDescent="0.2">
      <c r="A936">
        <v>0</v>
      </c>
      <c r="B936">
        <v>0</v>
      </c>
      <c r="C936" t="s">
        <v>6</v>
      </c>
      <c r="D936" t="s">
        <v>6</v>
      </c>
      <c r="E936" t="b">
        <v>0</v>
      </c>
      <c r="F936" t="s">
        <v>7</v>
      </c>
    </row>
    <row r="937" spans="1:6" x14ac:dyDescent="0.2">
      <c r="A937">
        <v>0</v>
      </c>
      <c r="B937">
        <v>0</v>
      </c>
      <c r="C937" t="s">
        <v>6</v>
      </c>
      <c r="D937" t="s">
        <v>6</v>
      </c>
      <c r="E937" t="b">
        <v>0</v>
      </c>
      <c r="F937" t="s">
        <v>7</v>
      </c>
    </row>
    <row r="938" spans="1:6" x14ac:dyDescent="0.2">
      <c r="A938">
        <v>0</v>
      </c>
      <c r="B938">
        <v>0</v>
      </c>
      <c r="C938" t="s">
        <v>6</v>
      </c>
      <c r="D938" t="s">
        <v>6</v>
      </c>
      <c r="E938" t="b">
        <v>0</v>
      </c>
      <c r="F938" t="s">
        <v>7</v>
      </c>
    </row>
    <row r="939" spans="1:6" x14ac:dyDescent="0.2">
      <c r="A939">
        <v>0</v>
      </c>
      <c r="B939">
        <v>0</v>
      </c>
      <c r="C939" t="s">
        <v>6</v>
      </c>
      <c r="D939" t="s">
        <v>6</v>
      </c>
      <c r="E939" t="b">
        <v>0</v>
      </c>
      <c r="F939" t="s">
        <v>7</v>
      </c>
    </row>
    <row r="940" spans="1:6" x14ac:dyDescent="0.2">
      <c r="A940">
        <v>0</v>
      </c>
      <c r="B940">
        <v>0</v>
      </c>
      <c r="C940" t="s">
        <v>6</v>
      </c>
      <c r="D940" t="s">
        <v>6</v>
      </c>
      <c r="E940" t="b">
        <v>0</v>
      </c>
      <c r="F940" t="s">
        <v>7</v>
      </c>
    </row>
    <row r="941" spans="1:6" x14ac:dyDescent="0.2">
      <c r="A941">
        <v>0</v>
      </c>
      <c r="B941">
        <v>0</v>
      </c>
      <c r="C941" t="s">
        <v>6</v>
      </c>
      <c r="D941" t="s">
        <v>6</v>
      </c>
      <c r="E941" t="b">
        <v>0</v>
      </c>
      <c r="F941" t="s">
        <v>7</v>
      </c>
    </row>
    <row r="942" spans="1:6" x14ac:dyDescent="0.2">
      <c r="A942">
        <v>0</v>
      </c>
      <c r="B942">
        <v>0</v>
      </c>
      <c r="C942" t="s">
        <v>6</v>
      </c>
      <c r="D942" t="s">
        <v>6</v>
      </c>
      <c r="E942" t="b">
        <v>0</v>
      </c>
      <c r="F942" t="s">
        <v>7</v>
      </c>
    </row>
    <row r="943" spans="1:6" x14ac:dyDescent="0.2">
      <c r="A943">
        <v>0</v>
      </c>
      <c r="B943">
        <v>0</v>
      </c>
      <c r="C943" t="s">
        <v>6</v>
      </c>
      <c r="D943" t="s">
        <v>6</v>
      </c>
      <c r="E943" t="b">
        <v>0</v>
      </c>
      <c r="F943" t="s">
        <v>7</v>
      </c>
    </row>
    <row r="944" spans="1:6" x14ac:dyDescent="0.2">
      <c r="A944">
        <v>0</v>
      </c>
      <c r="B944">
        <v>0</v>
      </c>
      <c r="C944" t="s">
        <v>6</v>
      </c>
      <c r="D944" t="s">
        <v>6</v>
      </c>
      <c r="E944" t="b">
        <v>0</v>
      </c>
      <c r="F944" t="s">
        <v>7</v>
      </c>
    </row>
    <row r="945" spans="1:6" x14ac:dyDescent="0.2">
      <c r="A945">
        <v>0</v>
      </c>
      <c r="B945">
        <v>0</v>
      </c>
      <c r="C945" t="s">
        <v>6</v>
      </c>
      <c r="D945" t="s">
        <v>6</v>
      </c>
      <c r="E945" t="b">
        <v>0</v>
      </c>
      <c r="F945" t="s">
        <v>7</v>
      </c>
    </row>
    <row r="946" spans="1:6" x14ac:dyDescent="0.2">
      <c r="A946">
        <v>0</v>
      </c>
      <c r="B946">
        <v>0</v>
      </c>
      <c r="C946" t="s">
        <v>6</v>
      </c>
      <c r="D946" t="s">
        <v>6</v>
      </c>
      <c r="E946" t="b">
        <v>0</v>
      </c>
      <c r="F946" t="s">
        <v>7</v>
      </c>
    </row>
    <row r="947" spans="1:6" x14ac:dyDescent="0.2">
      <c r="A947">
        <v>0</v>
      </c>
      <c r="B947">
        <v>0</v>
      </c>
      <c r="C947" t="s">
        <v>6</v>
      </c>
      <c r="D947" t="s">
        <v>6</v>
      </c>
      <c r="E947" t="b">
        <v>0</v>
      </c>
      <c r="F947" t="s">
        <v>7</v>
      </c>
    </row>
    <row r="948" spans="1:6" x14ac:dyDescent="0.2">
      <c r="A948">
        <v>0</v>
      </c>
      <c r="B948">
        <v>0</v>
      </c>
      <c r="C948" t="s">
        <v>6</v>
      </c>
      <c r="D948" t="s">
        <v>6</v>
      </c>
      <c r="E948" t="b">
        <v>0</v>
      </c>
      <c r="F948" t="s">
        <v>7</v>
      </c>
    </row>
    <row r="949" spans="1:6" x14ac:dyDescent="0.2">
      <c r="A949">
        <v>0</v>
      </c>
      <c r="B949">
        <v>0</v>
      </c>
      <c r="C949" t="s">
        <v>6</v>
      </c>
      <c r="D949" t="s">
        <v>6</v>
      </c>
      <c r="E949" t="b">
        <v>0</v>
      </c>
      <c r="F949" t="s">
        <v>7</v>
      </c>
    </row>
    <row r="950" spans="1:6" x14ac:dyDescent="0.2">
      <c r="A950">
        <v>0</v>
      </c>
      <c r="B950">
        <v>0</v>
      </c>
      <c r="C950" t="s">
        <v>6</v>
      </c>
      <c r="D950" t="s">
        <v>6</v>
      </c>
      <c r="E950" t="b">
        <v>0</v>
      </c>
      <c r="F950" t="s">
        <v>7</v>
      </c>
    </row>
    <row r="951" spans="1:6" x14ac:dyDescent="0.2">
      <c r="A951">
        <v>0</v>
      </c>
      <c r="B951">
        <v>0</v>
      </c>
      <c r="C951" t="s">
        <v>6</v>
      </c>
      <c r="D951" t="s">
        <v>6</v>
      </c>
      <c r="E951" t="b">
        <v>0</v>
      </c>
      <c r="F951" t="s">
        <v>7</v>
      </c>
    </row>
    <row r="952" spans="1:6" x14ac:dyDescent="0.2">
      <c r="A952">
        <v>0</v>
      </c>
      <c r="B952">
        <v>0</v>
      </c>
      <c r="C952" t="s">
        <v>6</v>
      </c>
      <c r="D952" t="s">
        <v>6</v>
      </c>
      <c r="E952" t="b">
        <v>0</v>
      </c>
      <c r="F952" t="s">
        <v>7</v>
      </c>
    </row>
    <row r="953" spans="1:6" x14ac:dyDescent="0.2">
      <c r="A953">
        <v>0</v>
      </c>
      <c r="B953">
        <v>0</v>
      </c>
      <c r="C953" t="s">
        <v>6</v>
      </c>
      <c r="D953" t="s">
        <v>6</v>
      </c>
      <c r="E953" t="b">
        <v>0</v>
      </c>
      <c r="F953" t="s">
        <v>7</v>
      </c>
    </row>
    <row r="954" spans="1:6" x14ac:dyDescent="0.2">
      <c r="A954">
        <v>0</v>
      </c>
      <c r="B954">
        <v>0</v>
      </c>
      <c r="C954" t="s">
        <v>6</v>
      </c>
      <c r="D954" t="s">
        <v>6</v>
      </c>
      <c r="E954" t="b">
        <v>0</v>
      </c>
      <c r="F954" t="s">
        <v>7</v>
      </c>
    </row>
    <row r="955" spans="1:6" x14ac:dyDescent="0.2">
      <c r="A955">
        <v>0</v>
      </c>
      <c r="B955">
        <v>0</v>
      </c>
      <c r="C955" t="s">
        <v>6</v>
      </c>
      <c r="D955" t="s">
        <v>6</v>
      </c>
      <c r="E955" t="b">
        <v>0</v>
      </c>
      <c r="F955" t="s">
        <v>7</v>
      </c>
    </row>
    <row r="956" spans="1:6" x14ac:dyDescent="0.2">
      <c r="A956">
        <v>0</v>
      </c>
      <c r="B956">
        <v>0</v>
      </c>
      <c r="C956" t="s">
        <v>6</v>
      </c>
      <c r="D956" t="s">
        <v>6</v>
      </c>
      <c r="E956" t="b">
        <v>0</v>
      </c>
      <c r="F956" t="s">
        <v>7</v>
      </c>
    </row>
    <row r="957" spans="1:6" x14ac:dyDescent="0.2">
      <c r="A957">
        <v>0</v>
      </c>
      <c r="B957">
        <v>0</v>
      </c>
      <c r="C957" t="s">
        <v>6</v>
      </c>
      <c r="D957" t="s">
        <v>6</v>
      </c>
      <c r="E957" t="b">
        <v>0</v>
      </c>
      <c r="F957" t="s">
        <v>7</v>
      </c>
    </row>
    <row r="958" spans="1:6" x14ac:dyDescent="0.2">
      <c r="A958">
        <v>0</v>
      </c>
      <c r="B958">
        <v>0</v>
      </c>
      <c r="C958" t="s">
        <v>6</v>
      </c>
      <c r="D958" t="s">
        <v>6</v>
      </c>
      <c r="E958" t="b">
        <v>0</v>
      </c>
      <c r="F958" t="s">
        <v>7</v>
      </c>
    </row>
    <row r="959" spans="1:6" x14ac:dyDescent="0.2">
      <c r="A959">
        <v>0</v>
      </c>
      <c r="B959">
        <v>0</v>
      </c>
      <c r="C959" t="s">
        <v>6</v>
      </c>
      <c r="D959" t="s">
        <v>6</v>
      </c>
      <c r="E959" t="b">
        <v>0</v>
      </c>
      <c r="F959" t="s">
        <v>7</v>
      </c>
    </row>
    <row r="960" spans="1:6" x14ac:dyDescent="0.2">
      <c r="A960">
        <v>0</v>
      </c>
      <c r="B960">
        <v>0</v>
      </c>
      <c r="C960" t="s">
        <v>6</v>
      </c>
      <c r="D960" t="s">
        <v>6</v>
      </c>
      <c r="E960" t="b">
        <v>0</v>
      </c>
      <c r="F960" t="s">
        <v>7</v>
      </c>
    </row>
    <row r="961" spans="1:6" x14ac:dyDescent="0.2">
      <c r="A961">
        <v>0</v>
      </c>
      <c r="B961">
        <v>0</v>
      </c>
      <c r="C961" t="s">
        <v>6</v>
      </c>
      <c r="D961" t="s">
        <v>6</v>
      </c>
      <c r="E961" t="b">
        <v>0</v>
      </c>
      <c r="F961" t="s">
        <v>7</v>
      </c>
    </row>
    <row r="962" spans="1:6" x14ac:dyDescent="0.2">
      <c r="A962">
        <v>0</v>
      </c>
      <c r="B962">
        <v>0</v>
      </c>
      <c r="C962" t="s">
        <v>6</v>
      </c>
      <c r="D962" t="s">
        <v>6</v>
      </c>
      <c r="E962" t="b">
        <v>0</v>
      </c>
      <c r="F962" t="s">
        <v>7</v>
      </c>
    </row>
    <row r="963" spans="1:6" x14ac:dyDescent="0.2">
      <c r="A963">
        <v>0</v>
      </c>
      <c r="B963">
        <v>0</v>
      </c>
      <c r="C963" t="s">
        <v>6</v>
      </c>
      <c r="D963" t="s">
        <v>6</v>
      </c>
      <c r="E963" t="b">
        <v>0</v>
      </c>
      <c r="F963" t="s">
        <v>7</v>
      </c>
    </row>
    <row r="964" spans="1:6" x14ac:dyDescent="0.2">
      <c r="A964">
        <v>0</v>
      </c>
      <c r="B964">
        <v>0</v>
      </c>
      <c r="C964" t="s">
        <v>6</v>
      </c>
      <c r="D964" t="s">
        <v>6</v>
      </c>
      <c r="E964" t="b">
        <v>0</v>
      </c>
      <c r="F964" t="s">
        <v>7</v>
      </c>
    </row>
    <row r="965" spans="1:6" x14ac:dyDescent="0.2">
      <c r="A965">
        <v>0</v>
      </c>
      <c r="B965">
        <v>0</v>
      </c>
      <c r="C965" t="s">
        <v>6</v>
      </c>
      <c r="D965" t="s">
        <v>6</v>
      </c>
      <c r="E965" t="b">
        <v>0</v>
      </c>
      <c r="F965" t="s">
        <v>7</v>
      </c>
    </row>
    <row r="966" spans="1:6" x14ac:dyDescent="0.2">
      <c r="A966">
        <v>0</v>
      </c>
      <c r="B966">
        <v>0</v>
      </c>
      <c r="C966" t="s">
        <v>6</v>
      </c>
      <c r="D966" t="s">
        <v>6</v>
      </c>
      <c r="E966" t="b">
        <v>0</v>
      </c>
      <c r="F966" t="s">
        <v>7</v>
      </c>
    </row>
    <row r="967" spans="1:6" x14ac:dyDescent="0.2">
      <c r="A967">
        <v>0</v>
      </c>
      <c r="B967">
        <v>0</v>
      </c>
      <c r="C967" t="s">
        <v>6</v>
      </c>
      <c r="D967" t="s">
        <v>6</v>
      </c>
      <c r="E967" t="b">
        <v>0</v>
      </c>
      <c r="F967" t="s">
        <v>7</v>
      </c>
    </row>
    <row r="968" spans="1:6" x14ac:dyDescent="0.2">
      <c r="A968">
        <v>0</v>
      </c>
      <c r="B968">
        <v>0</v>
      </c>
      <c r="C968" t="s">
        <v>6</v>
      </c>
      <c r="D968" t="s">
        <v>6</v>
      </c>
      <c r="E968" t="b">
        <v>0</v>
      </c>
      <c r="F968" t="s">
        <v>7</v>
      </c>
    </row>
    <row r="969" spans="1:6" x14ac:dyDescent="0.2">
      <c r="A969">
        <v>1</v>
      </c>
      <c r="B969">
        <v>1</v>
      </c>
      <c r="C969" t="s">
        <v>10</v>
      </c>
      <c r="D969" t="s">
        <v>11</v>
      </c>
      <c r="E969" t="b">
        <v>0</v>
      </c>
      <c r="F969" t="s">
        <v>7</v>
      </c>
    </row>
    <row r="970" spans="1:6" x14ac:dyDescent="0.2">
      <c r="A970">
        <v>1</v>
      </c>
      <c r="B970">
        <v>1</v>
      </c>
      <c r="C970" t="s">
        <v>10</v>
      </c>
      <c r="D970" t="s">
        <v>11</v>
      </c>
      <c r="E970" t="b">
        <v>0</v>
      </c>
      <c r="F970" t="s">
        <v>7</v>
      </c>
    </row>
    <row r="971" spans="1:6" x14ac:dyDescent="0.2">
      <c r="A971">
        <v>1</v>
      </c>
      <c r="B971">
        <v>1</v>
      </c>
      <c r="C971" t="s">
        <v>10</v>
      </c>
      <c r="D971" t="s">
        <v>11</v>
      </c>
      <c r="E971" t="b">
        <v>0</v>
      </c>
      <c r="F971" t="s">
        <v>7</v>
      </c>
    </row>
    <row r="972" spans="1:6" x14ac:dyDescent="0.2">
      <c r="A972">
        <v>1</v>
      </c>
      <c r="B972">
        <v>1</v>
      </c>
      <c r="C972" t="s">
        <v>10</v>
      </c>
      <c r="D972" t="s">
        <v>11</v>
      </c>
      <c r="E972" t="b">
        <v>0</v>
      </c>
      <c r="F972" t="s">
        <v>7</v>
      </c>
    </row>
    <row r="973" spans="1:6" x14ac:dyDescent="0.2">
      <c r="A973">
        <v>1</v>
      </c>
      <c r="B973">
        <v>1</v>
      </c>
      <c r="C973" t="s">
        <v>10</v>
      </c>
      <c r="D973" t="s">
        <v>11</v>
      </c>
      <c r="E973" t="b">
        <v>0</v>
      </c>
      <c r="F973" t="s">
        <v>7</v>
      </c>
    </row>
    <row r="974" spans="1:6" x14ac:dyDescent="0.2">
      <c r="A974">
        <v>1</v>
      </c>
      <c r="B974">
        <v>1</v>
      </c>
      <c r="C974" t="s">
        <v>10</v>
      </c>
      <c r="D974" t="s">
        <v>11</v>
      </c>
      <c r="E974" t="b">
        <v>0</v>
      </c>
      <c r="F974" t="s">
        <v>7</v>
      </c>
    </row>
    <row r="975" spans="1:6" x14ac:dyDescent="0.2">
      <c r="A975">
        <v>100</v>
      </c>
      <c r="B975">
        <v>10</v>
      </c>
      <c r="C975" t="s">
        <v>9</v>
      </c>
      <c r="D975" t="s">
        <v>12</v>
      </c>
      <c r="E975" t="b">
        <v>0</v>
      </c>
      <c r="F975" t="s">
        <v>7</v>
      </c>
    </row>
    <row r="976" spans="1:6" x14ac:dyDescent="0.2">
      <c r="A976">
        <v>1</v>
      </c>
      <c r="B976">
        <v>1</v>
      </c>
      <c r="C976" t="s">
        <v>10</v>
      </c>
      <c r="D976" t="s">
        <v>11</v>
      </c>
      <c r="E976" t="b">
        <v>0</v>
      </c>
      <c r="F976" t="s">
        <v>7</v>
      </c>
    </row>
    <row r="977" spans="1:6" x14ac:dyDescent="0.2">
      <c r="A977">
        <v>100</v>
      </c>
      <c r="B977">
        <v>10</v>
      </c>
      <c r="C977" t="s">
        <v>9</v>
      </c>
      <c r="D977" t="s">
        <v>12</v>
      </c>
      <c r="E977" t="b">
        <v>0</v>
      </c>
      <c r="F977" t="s">
        <v>7</v>
      </c>
    </row>
    <row r="978" spans="1:6" x14ac:dyDescent="0.2">
      <c r="A978">
        <v>1</v>
      </c>
      <c r="B978">
        <v>1</v>
      </c>
      <c r="C978" t="s">
        <v>10</v>
      </c>
      <c r="D978" t="s">
        <v>11</v>
      </c>
      <c r="E978" t="b">
        <v>0</v>
      </c>
      <c r="F978" t="s">
        <v>7</v>
      </c>
    </row>
    <row r="979" spans="1:6" x14ac:dyDescent="0.2">
      <c r="A979">
        <v>1</v>
      </c>
      <c r="B979">
        <v>1</v>
      </c>
      <c r="C979" t="s">
        <v>10</v>
      </c>
      <c r="D979" t="s">
        <v>11</v>
      </c>
      <c r="E979" t="b">
        <v>0</v>
      </c>
      <c r="F979" t="s">
        <v>7</v>
      </c>
    </row>
    <row r="980" spans="1:6" x14ac:dyDescent="0.2">
      <c r="A980">
        <v>1</v>
      </c>
      <c r="B980">
        <v>1</v>
      </c>
      <c r="C980" t="s">
        <v>10</v>
      </c>
      <c r="D980" t="s">
        <v>11</v>
      </c>
      <c r="E980" t="b">
        <v>0</v>
      </c>
      <c r="F980" t="s">
        <v>7</v>
      </c>
    </row>
    <row r="981" spans="1:6" x14ac:dyDescent="0.2">
      <c r="A981">
        <v>1</v>
      </c>
      <c r="B981">
        <v>1</v>
      </c>
      <c r="C981" t="s">
        <v>10</v>
      </c>
      <c r="D981" t="s">
        <v>11</v>
      </c>
      <c r="E981" t="b">
        <v>0</v>
      </c>
      <c r="F981" t="s">
        <v>7</v>
      </c>
    </row>
    <row r="982" spans="1:6" x14ac:dyDescent="0.2">
      <c r="A982">
        <v>1</v>
      </c>
      <c r="B982">
        <v>1</v>
      </c>
      <c r="C982" t="s">
        <v>10</v>
      </c>
      <c r="D982" t="s">
        <v>11</v>
      </c>
      <c r="E982" t="b">
        <v>0</v>
      </c>
      <c r="F982" t="s">
        <v>7</v>
      </c>
    </row>
    <row r="983" spans="1:6" x14ac:dyDescent="0.2">
      <c r="A983">
        <v>1</v>
      </c>
      <c r="B983">
        <v>1</v>
      </c>
      <c r="C983" t="s">
        <v>10</v>
      </c>
      <c r="D983" t="s">
        <v>11</v>
      </c>
      <c r="E983" t="b">
        <v>0</v>
      </c>
      <c r="F983" t="s">
        <v>7</v>
      </c>
    </row>
    <row r="984" spans="1:6" x14ac:dyDescent="0.2">
      <c r="A984">
        <v>0</v>
      </c>
      <c r="B984">
        <v>0</v>
      </c>
      <c r="C984" t="s">
        <v>19</v>
      </c>
      <c r="D984" t="s">
        <v>19</v>
      </c>
      <c r="E984" t="b">
        <v>0</v>
      </c>
      <c r="F984" t="s">
        <v>7</v>
      </c>
    </row>
    <row r="985" spans="1:6" x14ac:dyDescent="0.2">
      <c r="A985">
        <v>0</v>
      </c>
      <c r="B985">
        <v>0</v>
      </c>
      <c r="C985" t="s">
        <v>19</v>
      </c>
      <c r="D985" t="s">
        <v>19</v>
      </c>
      <c r="E985" t="b">
        <v>0</v>
      </c>
      <c r="F985" t="s">
        <v>7</v>
      </c>
    </row>
    <row r="986" spans="1:6" x14ac:dyDescent="0.2">
      <c r="A986">
        <v>0</v>
      </c>
      <c r="B986">
        <v>0</v>
      </c>
      <c r="C986" t="s">
        <v>19</v>
      </c>
      <c r="D986" t="s">
        <v>19</v>
      </c>
      <c r="E986" t="b">
        <v>0</v>
      </c>
      <c r="F986" t="s">
        <v>7</v>
      </c>
    </row>
    <row r="987" spans="1:6" x14ac:dyDescent="0.2">
      <c r="A987">
        <v>0</v>
      </c>
      <c r="B987">
        <v>0</v>
      </c>
      <c r="C987" t="s">
        <v>19</v>
      </c>
      <c r="D987" t="s">
        <v>19</v>
      </c>
      <c r="E987" t="b">
        <v>0</v>
      </c>
      <c r="F987" t="s">
        <v>7</v>
      </c>
    </row>
    <row r="988" spans="1:6" x14ac:dyDescent="0.2">
      <c r="A988">
        <v>0</v>
      </c>
      <c r="B988">
        <v>0</v>
      </c>
      <c r="C988" t="s">
        <v>19</v>
      </c>
      <c r="D988" t="s">
        <v>19</v>
      </c>
      <c r="E988" t="b">
        <v>0</v>
      </c>
      <c r="F988" t="s">
        <v>7</v>
      </c>
    </row>
    <row r="989" spans="1:6" x14ac:dyDescent="0.2">
      <c r="A989">
        <v>0</v>
      </c>
      <c r="B989">
        <v>0</v>
      </c>
      <c r="C989" t="s">
        <v>19</v>
      </c>
      <c r="D989" t="s">
        <v>19</v>
      </c>
      <c r="E989" t="b">
        <v>0</v>
      </c>
      <c r="F989" t="s">
        <v>7</v>
      </c>
    </row>
    <row r="990" spans="1:6" x14ac:dyDescent="0.2">
      <c r="A990">
        <v>0</v>
      </c>
      <c r="B990">
        <v>0</v>
      </c>
      <c r="C990" t="s">
        <v>19</v>
      </c>
      <c r="D990" t="s">
        <v>19</v>
      </c>
      <c r="E990" t="b">
        <v>0</v>
      </c>
      <c r="F990" t="s">
        <v>7</v>
      </c>
    </row>
    <row r="991" spans="1:6" x14ac:dyDescent="0.2">
      <c r="A991">
        <v>0</v>
      </c>
      <c r="B991">
        <v>0</v>
      </c>
      <c r="C991" t="s">
        <v>19</v>
      </c>
      <c r="D991" t="s">
        <v>19</v>
      </c>
      <c r="E991" t="b">
        <v>0</v>
      </c>
      <c r="F991" t="s">
        <v>7</v>
      </c>
    </row>
    <row r="992" spans="1:6" x14ac:dyDescent="0.2">
      <c r="A992">
        <v>0</v>
      </c>
      <c r="B992">
        <v>0</v>
      </c>
      <c r="C992" t="s">
        <v>19</v>
      </c>
      <c r="D992" t="s">
        <v>19</v>
      </c>
      <c r="E992" t="b">
        <v>0</v>
      </c>
      <c r="F992" t="s">
        <v>7</v>
      </c>
    </row>
    <row r="993" spans="1:6" x14ac:dyDescent="0.2">
      <c r="A993">
        <v>0</v>
      </c>
      <c r="B993">
        <v>0</v>
      </c>
      <c r="C993" t="s">
        <v>19</v>
      </c>
      <c r="D993" t="s">
        <v>19</v>
      </c>
      <c r="E993" t="b">
        <v>0</v>
      </c>
      <c r="F993" t="s">
        <v>7</v>
      </c>
    </row>
    <row r="994" spans="1:6" x14ac:dyDescent="0.2">
      <c r="A994">
        <v>0</v>
      </c>
      <c r="B994">
        <v>0</v>
      </c>
      <c r="C994" t="s">
        <v>19</v>
      </c>
      <c r="D994" t="s">
        <v>19</v>
      </c>
      <c r="E994" t="b">
        <v>0</v>
      </c>
      <c r="F994" t="s">
        <v>7</v>
      </c>
    </row>
    <row r="995" spans="1:6" x14ac:dyDescent="0.2">
      <c r="A995">
        <v>0</v>
      </c>
      <c r="B995">
        <v>0</v>
      </c>
      <c r="C995" t="s">
        <v>19</v>
      </c>
      <c r="D995" t="s">
        <v>19</v>
      </c>
      <c r="E995" t="b">
        <v>0</v>
      </c>
      <c r="F995" t="s">
        <v>7</v>
      </c>
    </row>
    <row r="996" spans="1:6" x14ac:dyDescent="0.2">
      <c r="A996">
        <v>0</v>
      </c>
      <c r="B996">
        <v>0</v>
      </c>
      <c r="C996" t="s">
        <v>19</v>
      </c>
      <c r="D996" t="s">
        <v>19</v>
      </c>
      <c r="E996" t="b">
        <v>0</v>
      </c>
      <c r="F996" t="s">
        <v>7</v>
      </c>
    </row>
    <row r="997" spans="1:6" x14ac:dyDescent="0.2">
      <c r="A997">
        <v>0</v>
      </c>
      <c r="B997">
        <v>0</v>
      </c>
      <c r="C997" t="s">
        <v>19</v>
      </c>
      <c r="D997" t="s">
        <v>19</v>
      </c>
      <c r="E997" t="b">
        <v>0</v>
      </c>
      <c r="F997" t="s">
        <v>7</v>
      </c>
    </row>
    <row r="998" spans="1:6" x14ac:dyDescent="0.2">
      <c r="A998">
        <v>0</v>
      </c>
      <c r="B998">
        <v>0</v>
      </c>
      <c r="C998" t="s">
        <v>19</v>
      </c>
      <c r="D998" t="s">
        <v>19</v>
      </c>
      <c r="E998" t="b">
        <v>0</v>
      </c>
      <c r="F998" t="s">
        <v>7</v>
      </c>
    </row>
    <row r="999" spans="1:6" x14ac:dyDescent="0.2">
      <c r="A999">
        <v>0</v>
      </c>
      <c r="B999">
        <v>0</v>
      </c>
      <c r="C999" t="s">
        <v>19</v>
      </c>
      <c r="D999" t="s">
        <v>19</v>
      </c>
      <c r="E999" t="b">
        <v>0</v>
      </c>
      <c r="F999" t="s">
        <v>7</v>
      </c>
    </row>
    <row r="1000" spans="1:6" x14ac:dyDescent="0.2">
      <c r="A1000">
        <v>0</v>
      </c>
      <c r="B1000">
        <v>0</v>
      </c>
      <c r="C1000" t="s">
        <v>19</v>
      </c>
      <c r="D1000" t="s">
        <v>19</v>
      </c>
      <c r="E1000" t="b">
        <v>0</v>
      </c>
      <c r="F1000" t="s">
        <v>7</v>
      </c>
    </row>
    <row r="1001" spans="1:6" x14ac:dyDescent="0.2">
      <c r="A1001">
        <v>0</v>
      </c>
      <c r="B1001">
        <v>0</v>
      </c>
      <c r="C1001" t="s">
        <v>19</v>
      </c>
      <c r="D1001" t="s">
        <v>19</v>
      </c>
      <c r="E1001" t="b">
        <v>0</v>
      </c>
      <c r="F1001" t="s">
        <v>7</v>
      </c>
    </row>
    <row r="1002" spans="1:6" x14ac:dyDescent="0.2">
      <c r="A1002">
        <v>0</v>
      </c>
      <c r="B1002">
        <v>0</v>
      </c>
      <c r="C1002" t="s">
        <v>19</v>
      </c>
      <c r="D1002" t="s">
        <v>19</v>
      </c>
      <c r="E1002" t="b">
        <v>0</v>
      </c>
      <c r="F1002" t="s">
        <v>7</v>
      </c>
    </row>
    <row r="1003" spans="1:6" x14ac:dyDescent="0.2">
      <c r="A1003">
        <v>0</v>
      </c>
      <c r="B1003">
        <v>0</v>
      </c>
      <c r="C1003" t="s">
        <v>19</v>
      </c>
      <c r="D1003" t="s">
        <v>19</v>
      </c>
      <c r="E1003" t="b">
        <v>0</v>
      </c>
      <c r="F1003" t="s">
        <v>7</v>
      </c>
    </row>
    <row r="1004" spans="1:6" x14ac:dyDescent="0.2">
      <c r="A1004">
        <v>100</v>
      </c>
      <c r="B1004">
        <v>10</v>
      </c>
      <c r="C1004" t="s">
        <v>22</v>
      </c>
      <c r="D1004" t="s">
        <v>12</v>
      </c>
      <c r="E1004" t="b">
        <v>0</v>
      </c>
      <c r="F1004" t="s">
        <v>7</v>
      </c>
    </row>
    <row r="1005" spans="1:6" x14ac:dyDescent="0.2">
      <c r="A1005">
        <v>100</v>
      </c>
      <c r="B1005">
        <v>10</v>
      </c>
      <c r="C1005" t="s">
        <v>22</v>
      </c>
      <c r="D1005" t="s">
        <v>12</v>
      </c>
      <c r="E1005" t="b">
        <v>0</v>
      </c>
      <c r="F1005" t="s">
        <v>7</v>
      </c>
    </row>
    <row r="1006" spans="1:6" x14ac:dyDescent="0.2">
      <c r="A1006">
        <v>1</v>
      </c>
      <c r="B1006">
        <v>1</v>
      </c>
      <c r="C1006" t="s">
        <v>10</v>
      </c>
      <c r="D1006" t="s">
        <v>11</v>
      </c>
      <c r="E1006" t="b">
        <v>0</v>
      </c>
      <c r="F1006" t="s">
        <v>7</v>
      </c>
    </row>
  </sheetData>
  <autoFilter ref="A1:F1006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9"/>
  <sheetViews>
    <sheetView zoomScale="137" workbookViewId="0"/>
  </sheetViews>
  <sheetFormatPr baseColWidth="10" defaultRowHeight="16" x14ac:dyDescent="0.2"/>
  <cols>
    <col min="1" max="1" width="13" bestFit="1" customWidth="1"/>
    <col min="2" max="2" width="10.6640625" bestFit="1" customWidth="1"/>
    <col min="3" max="3" width="13" bestFit="1" customWidth="1"/>
    <col min="4" max="4" width="17.33203125" bestFit="1" customWidth="1"/>
    <col min="7" max="7" width="28.5" bestFit="1" customWidth="1"/>
  </cols>
  <sheetData>
    <row r="1" spans="1:13" x14ac:dyDescent="0.2">
      <c r="L1" s="8" t="s">
        <v>50</v>
      </c>
    </row>
    <row r="2" spans="1:13" x14ac:dyDescent="0.2">
      <c r="A2" t="s">
        <v>38</v>
      </c>
      <c r="K2" s="2"/>
      <c r="L2" s="2" t="s">
        <v>35</v>
      </c>
      <c r="M2" s="4">
        <f>GETPIVOTDATA("Count of from",'Pivot Tables'!$A$3)</f>
        <v>1005</v>
      </c>
    </row>
    <row r="3" spans="1:13" x14ac:dyDescent="0.2">
      <c r="A3" t="s">
        <v>34</v>
      </c>
      <c r="B3" t="s">
        <v>32</v>
      </c>
      <c r="C3" t="s">
        <v>28</v>
      </c>
      <c r="D3" t="s">
        <v>42</v>
      </c>
      <c r="K3" s="2"/>
      <c r="L3" s="2" t="s">
        <v>36</v>
      </c>
      <c r="M3" s="4">
        <f>COUNTA(A9:A17)</f>
        <v>9</v>
      </c>
    </row>
    <row r="4" spans="1:13" x14ac:dyDescent="0.2">
      <c r="A4" s="3">
        <v>4.5870646766169152</v>
      </c>
      <c r="B4" s="3">
        <v>1005</v>
      </c>
      <c r="C4" s="3">
        <v>1005</v>
      </c>
      <c r="D4" s="3">
        <v>0.79800995024875621</v>
      </c>
      <c r="K4" s="2"/>
      <c r="L4" s="2" t="s">
        <v>37</v>
      </c>
      <c r="M4" s="4">
        <f>COUNTA(A25:A43)</f>
        <v>19</v>
      </c>
    </row>
    <row r="5" spans="1:13" x14ac:dyDescent="0.2">
      <c r="K5" s="2"/>
      <c r="L5" s="2" t="s">
        <v>44</v>
      </c>
      <c r="M5" s="5">
        <f>GETPIVOTDATA("Average of amount",$A$3)</f>
        <v>4.5870646766169152</v>
      </c>
    </row>
    <row r="6" spans="1:13" x14ac:dyDescent="0.2">
      <c r="K6" s="2"/>
      <c r="L6" s="2" t="s">
        <v>45</v>
      </c>
      <c r="M6" s="5">
        <f>GETPIVOTDATA("Average of amount",$A$65)</f>
        <v>9.8980477223427332</v>
      </c>
    </row>
    <row r="7" spans="1:13" x14ac:dyDescent="0.2">
      <c r="A7" t="s">
        <v>40</v>
      </c>
      <c r="E7" s="8" t="s">
        <v>51</v>
      </c>
      <c r="F7" s="8"/>
      <c r="G7" s="8"/>
      <c r="H7" s="8"/>
      <c r="I7" s="8"/>
      <c r="J7" s="8"/>
      <c r="K7" s="2"/>
      <c r="L7" s="2" t="s">
        <v>43</v>
      </c>
      <c r="M7" s="5">
        <f>SUMPRODUCT(C59:C62,D59:D62)/SUM(C59:C62)</f>
        <v>1.578740157480315</v>
      </c>
    </row>
    <row r="8" spans="1:13" x14ac:dyDescent="0.2">
      <c r="A8" s="1" t="s">
        <v>29</v>
      </c>
      <c r="B8" t="s">
        <v>31</v>
      </c>
      <c r="C8" t="s">
        <v>33</v>
      </c>
      <c r="D8" t="s">
        <v>32</v>
      </c>
      <c r="E8" s="8"/>
      <c r="F8" s="8" t="s">
        <v>47</v>
      </c>
      <c r="G8" s="8" t="s">
        <v>48</v>
      </c>
      <c r="H8" s="8" t="s">
        <v>49</v>
      </c>
      <c r="I8" s="8"/>
      <c r="J8" s="8"/>
      <c r="K8" s="2"/>
      <c r="L8" s="2" t="s">
        <v>46</v>
      </c>
      <c r="M8" s="5">
        <f>GETPIVOTDATA("Average of fee",$A$57)</f>
        <v>0.79800995024875621</v>
      </c>
    </row>
    <row r="9" spans="1:13" x14ac:dyDescent="0.2">
      <c r="A9" s="2" t="s">
        <v>18</v>
      </c>
      <c r="B9" s="3">
        <v>0</v>
      </c>
      <c r="C9" s="3">
        <v>0</v>
      </c>
      <c r="D9" s="3">
        <v>131</v>
      </c>
      <c r="E9">
        <v>1</v>
      </c>
      <c r="F9">
        <f t="shared" ref="F9:F17" si="0">B9</f>
        <v>0</v>
      </c>
      <c r="G9">
        <f t="shared" ref="G9:H17" si="1">C9</f>
        <v>0</v>
      </c>
      <c r="H9">
        <f t="shared" si="1"/>
        <v>131</v>
      </c>
      <c r="I9" s="6">
        <f>F9/$F$18</f>
        <v>0</v>
      </c>
      <c r="J9" s="6">
        <f>G9/$G$18</f>
        <v>0</v>
      </c>
    </row>
    <row r="10" spans="1:13" x14ac:dyDescent="0.2">
      <c r="A10" s="2" t="s">
        <v>6</v>
      </c>
      <c r="B10" s="3">
        <v>0</v>
      </c>
      <c r="C10" s="3">
        <v>0</v>
      </c>
      <c r="D10" s="3">
        <v>278</v>
      </c>
      <c r="E10">
        <f>E9+1</f>
        <v>2</v>
      </c>
      <c r="F10">
        <f t="shared" si="0"/>
        <v>0</v>
      </c>
      <c r="G10">
        <f t="shared" si="1"/>
        <v>0</v>
      </c>
      <c r="H10">
        <f t="shared" si="1"/>
        <v>278</v>
      </c>
      <c r="I10" s="6">
        <f>F10/$F$18</f>
        <v>0</v>
      </c>
      <c r="J10" s="6">
        <f>G10/$G$18</f>
        <v>0</v>
      </c>
    </row>
    <row r="11" spans="1:13" x14ac:dyDescent="0.2">
      <c r="A11" s="2" t="s">
        <v>21</v>
      </c>
      <c r="B11" s="3">
        <v>47</v>
      </c>
      <c r="C11" s="3">
        <v>0</v>
      </c>
      <c r="D11" s="3">
        <v>47</v>
      </c>
      <c r="E11">
        <f t="shared" ref="E11:E17" si="2">E10+1</f>
        <v>3</v>
      </c>
      <c r="F11">
        <f t="shared" si="0"/>
        <v>47</v>
      </c>
      <c r="G11">
        <f t="shared" si="1"/>
        <v>0</v>
      </c>
      <c r="H11">
        <f t="shared" si="1"/>
        <v>47</v>
      </c>
      <c r="I11" s="6">
        <f>F11/$F$18</f>
        <v>1.0195227765726681E-2</v>
      </c>
      <c r="J11" s="6">
        <f>G11/$G$18</f>
        <v>0</v>
      </c>
    </row>
    <row r="12" spans="1:13" x14ac:dyDescent="0.2">
      <c r="A12" s="2" t="s">
        <v>9</v>
      </c>
      <c r="B12" s="3">
        <v>802</v>
      </c>
      <c r="C12" s="3">
        <v>401</v>
      </c>
      <c r="D12" s="3">
        <v>401</v>
      </c>
      <c r="E12">
        <f t="shared" si="2"/>
        <v>4</v>
      </c>
      <c r="F12">
        <f t="shared" si="0"/>
        <v>802</v>
      </c>
      <c r="G12">
        <f t="shared" si="1"/>
        <v>401</v>
      </c>
      <c r="H12">
        <f t="shared" si="1"/>
        <v>401</v>
      </c>
      <c r="I12" s="6">
        <f>F12/$F$18</f>
        <v>0.17396963123644252</v>
      </c>
      <c r="J12" s="6">
        <f>G12/$G$18</f>
        <v>0.5</v>
      </c>
    </row>
    <row r="13" spans="1:13" x14ac:dyDescent="0.2">
      <c r="A13" s="2" t="s">
        <v>12</v>
      </c>
      <c r="B13" s="3">
        <v>3700</v>
      </c>
      <c r="C13" s="3">
        <v>370</v>
      </c>
      <c r="D13" s="3">
        <v>37</v>
      </c>
      <c r="E13">
        <f t="shared" si="2"/>
        <v>5</v>
      </c>
      <c r="F13">
        <f t="shared" si="0"/>
        <v>3700</v>
      </c>
      <c r="G13">
        <f t="shared" si="1"/>
        <v>370</v>
      </c>
      <c r="H13">
        <f t="shared" si="1"/>
        <v>37</v>
      </c>
      <c r="I13" s="6">
        <f>F13/$F$18</f>
        <v>0.8026030368763557</v>
      </c>
      <c r="J13" s="6">
        <f>G13/$G$18</f>
        <v>0.46134663341645887</v>
      </c>
    </row>
    <row r="14" spans="1:13" x14ac:dyDescent="0.2">
      <c r="A14" s="2" t="s">
        <v>14</v>
      </c>
      <c r="B14" s="3">
        <v>40</v>
      </c>
      <c r="C14" s="3">
        <v>10</v>
      </c>
      <c r="D14" s="3">
        <v>2</v>
      </c>
      <c r="E14">
        <f t="shared" si="2"/>
        <v>6</v>
      </c>
      <c r="F14">
        <f t="shared" si="0"/>
        <v>40</v>
      </c>
      <c r="G14">
        <f t="shared" si="1"/>
        <v>10</v>
      </c>
      <c r="H14">
        <f t="shared" si="1"/>
        <v>2</v>
      </c>
      <c r="I14" s="6">
        <f>F14/$F$18</f>
        <v>8.6767895878524948E-3</v>
      </c>
      <c r="J14" s="6">
        <f>G14/$G$18</f>
        <v>1.2468827930174564E-2</v>
      </c>
    </row>
    <row r="15" spans="1:13" x14ac:dyDescent="0.2">
      <c r="A15" s="2" t="s">
        <v>17</v>
      </c>
      <c r="B15" s="3">
        <v>0</v>
      </c>
      <c r="C15" s="3">
        <v>0</v>
      </c>
      <c r="D15" s="3">
        <v>14</v>
      </c>
      <c r="E15">
        <f t="shared" si="2"/>
        <v>7</v>
      </c>
      <c r="F15">
        <f t="shared" si="0"/>
        <v>0</v>
      </c>
      <c r="G15">
        <f t="shared" si="1"/>
        <v>0</v>
      </c>
      <c r="H15">
        <f t="shared" si="1"/>
        <v>14</v>
      </c>
      <c r="I15" s="6">
        <f>F15/$F$18</f>
        <v>0</v>
      </c>
      <c r="J15" s="6">
        <f>G15/$G$18</f>
        <v>0</v>
      </c>
    </row>
    <row r="16" spans="1:13" x14ac:dyDescent="0.2">
      <c r="A16" s="2" t="s">
        <v>19</v>
      </c>
      <c r="B16" s="3">
        <v>0</v>
      </c>
      <c r="C16" s="3">
        <v>0</v>
      </c>
      <c r="D16" s="3">
        <v>74</v>
      </c>
      <c r="E16">
        <f t="shared" si="2"/>
        <v>8</v>
      </c>
      <c r="F16">
        <f t="shared" si="0"/>
        <v>0</v>
      </c>
      <c r="G16">
        <f t="shared" si="1"/>
        <v>0</v>
      </c>
      <c r="H16">
        <f t="shared" si="1"/>
        <v>74</v>
      </c>
      <c r="I16" s="6">
        <f>F16/$F$18</f>
        <v>0</v>
      </c>
      <c r="J16" s="6">
        <f>G16/$G$18</f>
        <v>0</v>
      </c>
    </row>
    <row r="17" spans="1:10" x14ac:dyDescent="0.2">
      <c r="A17" s="2" t="s">
        <v>11</v>
      </c>
      <c r="B17" s="3">
        <v>21</v>
      </c>
      <c r="C17" s="3">
        <v>21</v>
      </c>
      <c r="D17" s="3">
        <v>21</v>
      </c>
      <c r="E17">
        <f t="shared" si="2"/>
        <v>9</v>
      </c>
      <c r="F17">
        <f t="shared" si="0"/>
        <v>21</v>
      </c>
      <c r="G17">
        <f t="shared" si="1"/>
        <v>21</v>
      </c>
      <c r="H17">
        <f t="shared" si="1"/>
        <v>21</v>
      </c>
      <c r="I17" s="6">
        <f>F17/$F$18</f>
        <v>4.5553145336225597E-3</v>
      </c>
      <c r="J17" s="6">
        <f>G17/$G$18</f>
        <v>2.6184538653366583E-2</v>
      </c>
    </row>
    <row r="18" spans="1:10" x14ac:dyDescent="0.2">
      <c r="A18" s="2" t="s">
        <v>30</v>
      </c>
      <c r="B18" s="3">
        <v>4610</v>
      </c>
      <c r="C18" s="3">
        <v>802</v>
      </c>
      <c r="D18" s="3">
        <v>1005</v>
      </c>
      <c r="E18" s="8"/>
      <c r="F18" s="8">
        <f>SUM(F9:F17)</f>
        <v>4610</v>
      </c>
      <c r="G18" s="8">
        <f>SUM(G9:G17)</f>
        <v>802</v>
      </c>
      <c r="H18" s="8"/>
      <c r="I18" s="8"/>
      <c r="J18" s="8"/>
    </row>
    <row r="23" spans="1:10" x14ac:dyDescent="0.2">
      <c r="A23" t="s">
        <v>39</v>
      </c>
      <c r="E23" s="8" t="s">
        <v>51</v>
      </c>
      <c r="F23" s="8"/>
      <c r="G23" s="8"/>
      <c r="H23" s="8"/>
      <c r="I23" s="8"/>
      <c r="J23" s="8"/>
    </row>
    <row r="24" spans="1:10" x14ac:dyDescent="0.2">
      <c r="A24" s="1" t="s">
        <v>29</v>
      </c>
      <c r="B24" t="s">
        <v>31</v>
      </c>
      <c r="C24" t="s">
        <v>33</v>
      </c>
      <c r="D24" t="s">
        <v>28</v>
      </c>
      <c r="E24" s="8"/>
      <c r="F24" s="8" t="s">
        <v>47</v>
      </c>
      <c r="G24" s="8" t="s">
        <v>48</v>
      </c>
      <c r="H24" s="8" t="s">
        <v>49</v>
      </c>
      <c r="I24" s="8"/>
      <c r="J24" s="8"/>
    </row>
    <row r="25" spans="1:10" x14ac:dyDescent="0.2">
      <c r="A25" s="2" t="s">
        <v>10</v>
      </c>
      <c r="B25" s="3">
        <v>121</v>
      </c>
      <c r="C25" s="3">
        <v>31</v>
      </c>
      <c r="D25" s="3">
        <v>22</v>
      </c>
      <c r="E25">
        <v>1</v>
      </c>
      <c r="F25">
        <f t="shared" ref="F25:H25" si="3">B25</f>
        <v>121</v>
      </c>
      <c r="G25">
        <f t="shared" si="3"/>
        <v>31</v>
      </c>
      <c r="H25">
        <f t="shared" si="3"/>
        <v>22</v>
      </c>
      <c r="I25" s="7">
        <f>F25/$F$44</f>
        <v>2.6247288503253797E-2</v>
      </c>
      <c r="J25" s="7">
        <f>G25/$G$44</f>
        <v>3.8653366583541147E-2</v>
      </c>
    </row>
    <row r="26" spans="1:10" x14ac:dyDescent="0.2">
      <c r="A26" s="2" t="s">
        <v>18</v>
      </c>
      <c r="B26" s="3">
        <v>300</v>
      </c>
      <c r="C26" s="3">
        <v>30</v>
      </c>
      <c r="D26" s="3">
        <v>134</v>
      </c>
      <c r="E26">
        <f>E25+1</f>
        <v>2</v>
      </c>
      <c r="F26">
        <f t="shared" ref="F26:F43" si="4">B26</f>
        <v>300</v>
      </c>
      <c r="G26">
        <f t="shared" ref="G26:H43" si="5">C26</f>
        <v>30</v>
      </c>
      <c r="H26">
        <f t="shared" si="5"/>
        <v>134</v>
      </c>
      <c r="I26" s="7">
        <f>F26/$F$44</f>
        <v>6.5075921908893705E-2</v>
      </c>
      <c r="J26" s="7">
        <f>G26/$G$44</f>
        <v>3.7406483790523692E-2</v>
      </c>
    </row>
    <row r="27" spans="1:10" x14ac:dyDescent="0.2">
      <c r="A27" s="2" t="s">
        <v>6</v>
      </c>
      <c r="B27" s="3">
        <v>300</v>
      </c>
      <c r="C27" s="3">
        <v>30</v>
      </c>
      <c r="D27" s="3">
        <v>295</v>
      </c>
      <c r="E27">
        <f t="shared" ref="E27:E43" si="6">E26+1</f>
        <v>3</v>
      </c>
      <c r="F27">
        <f t="shared" si="4"/>
        <v>300</v>
      </c>
      <c r="G27">
        <f t="shared" si="5"/>
        <v>30</v>
      </c>
      <c r="H27">
        <f t="shared" si="5"/>
        <v>295</v>
      </c>
      <c r="I27" s="7">
        <f>F27/$F$44</f>
        <v>6.5075921908893705E-2</v>
      </c>
      <c r="J27" s="7">
        <f>G27/$G$44</f>
        <v>3.7406483790523692E-2</v>
      </c>
    </row>
    <row r="28" spans="1:10" x14ac:dyDescent="0.2">
      <c r="A28" s="2" t="s">
        <v>21</v>
      </c>
      <c r="B28" s="3">
        <v>347</v>
      </c>
      <c r="C28" s="3">
        <v>30</v>
      </c>
      <c r="D28" s="3">
        <v>50</v>
      </c>
      <c r="E28">
        <f t="shared" si="6"/>
        <v>4</v>
      </c>
      <c r="F28">
        <f t="shared" si="4"/>
        <v>347</v>
      </c>
      <c r="G28">
        <f t="shared" si="5"/>
        <v>30</v>
      </c>
      <c r="H28">
        <f t="shared" si="5"/>
        <v>50</v>
      </c>
      <c r="I28" s="7">
        <f>F28/$F$44</f>
        <v>7.5271149674620397E-2</v>
      </c>
      <c r="J28" s="7">
        <f>G28/$G$44</f>
        <v>3.7406483790523692E-2</v>
      </c>
    </row>
    <row r="29" spans="1:10" x14ac:dyDescent="0.2">
      <c r="A29" s="2" t="s">
        <v>15</v>
      </c>
      <c r="B29" s="3">
        <v>100</v>
      </c>
      <c r="C29" s="3">
        <v>10</v>
      </c>
      <c r="D29" s="3">
        <v>1</v>
      </c>
      <c r="E29">
        <f t="shared" si="6"/>
        <v>5</v>
      </c>
      <c r="F29">
        <f t="shared" si="4"/>
        <v>100</v>
      </c>
      <c r="G29">
        <f t="shared" si="5"/>
        <v>10</v>
      </c>
      <c r="H29">
        <f t="shared" si="5"/>
        <v>1</v>
      </c>
      <c r="I29" s="7">
        <f>F29/$F$44</f>
        <v>2.1691973969631236E-2</v>
      </c>
      <c r="J29" s="7">
        <f>G29/$G$44</f>
        <v>1.2468827930174564E-2</v>
      </c>
    </row>
    <row r="30" spans="1:10" x14ac:dyDescent="0.2">
      <c r="A30" s="2" t="s">
        <v>9</v>
      </c>
      <c r="B30" s="3">
        <v>600</v>
      </c>
      <c r="C30" s="3">
        <v>60</v>
      </c>
      <c r="D30" s="3">
        <v>6</v>
      </c>
      <c r="E30">
        <f t="shared" si="6"/>
        <v>6</v>
      </c>
      <c r="F30">
        <f t="shared" si="4"/>
        <v>600</v>
      </c>
      <c r="G30">
        <f t="shared" si="5"/>
        <v>60</v>
      </c>
      <c r="H30">
        <f t="shared" si="5"/>
        <v>6</v>
      </c>
      <c r="I30" s="7">
        <f>F30/$F$44</f>
        <v>0.13015184381778741</v>
      </c>
      <c r="J30" s="7">
        <f>G30/$G$44</f>
        <v>7.4812967581047385E-2</v>
      </c>
    </row>
    <row r="31" spans="1:10" x14ac:dyDescent="0.2">
      <c r="A31" s="2" t="s">
        <v>26</v>
      </c>
      <c r="B31" s="3">
        <v>198</v>
      </c>
      <c r="C31" s="3">
        <v>99</v>
      </c>
      <c r="D31" s="3">
        <v>99</v>
      </c>
      <c r="E31">
        <f t="shared" si="6"/>
        <v>7</v>
      </c>
      <c r="F31">
        <f t="shared" si="4"/>
        <v>198</v>
      </c>
      <c r="G31">
        <f t="shared" si="5"/>
        <v>99</v>
      </c>
      <c r="H31">
        <f t="shared" si="5"/>
        <v>99</v>
      </c>
      <c r="I31" s="7">
        <f>F31/$F$44</f>
        <v>4.2950108459869851E-2</v>
      </c>
      <c r="J31" s="7">
        <f>G31/$G$44</f>
        <v>0.12344139650872818</v>
      </c>
    </row>
    <row r="32" spans="1:10" x14ac:dyDescent="0.2">
      <c r="A32" s="2" t="s">
        <v>24</v>
      </c>
      <c r="B32" s="3">
        <v>198</v>
      </c>
      <c r="C32" s="3">
        <v>99</v>
      </c>
      <c r="D32" s="3">
        <v>99</v>
      </c>
      <c r="E32">
        <f t="shared" si="6"/>
        <v>8</v>
      </c>
      <c r="F32">
        <f t="shared" si="4"/>
        <v>198</v>
      </c>
      <c r="G32">
        <f t="shared" si="5"/>
        <v>99</v>
      </c>
      <c r="H32">
        <f t="shared" si="5"/>
        <v>99</v>
      </c>
      <c r="I32" s="7">
        <f>F32/$F$44</f>
        <v>4.2950108459869851E-2</v>
      </c>
      <c r="J32" s="7">
        <f>G32/$G$44</f>
        <v>0.12344139650872818</v>
      </c>
    </row>
    <row r="33" spans="1:10" x14ac:dyDescent="0.2">
      <c r="A33" s="2" t="s">
        <v>14</v>
      </c>
      <c r="B33" s="3">
        <v>100</v>
      </c>
      <c r="C33" s="3">
        <v>10</v>
      </c>
      <c r="D33" s="3">
        <v>1</v>
      </c>
      <c r="E33">
        <f t="shared" si="6"/>
        <v>9</v>
      </c>
      <c r="F33">
        <f t="shared" si="4"/>
        <v>100</v>
      </c>
      <c r="G33">
        <f t="shared" si="5"/>
        <v>10</v>
      </c>
      <c r="H33">
        <f t="shared" si="5"/>
        <v>1</v>
      </c>
      <c r="I33" s="7">
        <f>F33/$F$44</f>
        <v>2.1691973969631236E-2</v>
      </c>
      <c r="J33" s="7">
        <f>G33/$G$44</f>
        <v>1.2468827930174564E-2</v>
      </c>
    </row>
    <row r="34" spans="1:10" x14ac:dyDescent="0.2">
      <c r="A34" s="2" t="s">
        <v>17</v>
      </c>
      <c r="B34" s="3">
        <v>200</v>
      </c>
      <c r="C34" s="3">
        <v>20</v>
      </c>
      <c r="D34" s="3">
        <v>2</v>
      </c>
      <c r="E34">
        <f t="shared" si="6"/>
        <v>10</v>
      </c>
      <c r="F34">
        <f t="shared" si="4"/>
        <v>200</v>
      </c>
      <c r="G34">
        <f t="shared" si="5"/>
        <v>20</v>
      </c>
      <c r="H34">
        <f t="shared" si="5"/>
        <v>2</v>
      </c>
      <c r="I34" s="7">
        <f>F34/$F$44</f>
        <v>4.3383947939262472E-2</v>
      </c>
      <c r="J34" s="7">
        <f>G34/$G$44</f>
        <v>2.4937655860349128E-2</v>
      </c>
    </row>
    <row r="35" spans="1:10" x14ac:dyDescent="0.2">
      <c r="A35" s="2" t="s">
        <v>19</v>
      </c>
      <c r="B35" s="3">
        <v>400</v>
      </c>
      <c r="C35" s="3">
        <v>40</v>
      </c>
      <c r="D35" s="3">
        <v>78</v>
      </c>
      <c r="E35">
        <f t="shared" si="6"/>
        <v>11</v>
      </c>
      <c r="F35">
        <f t="shared" si="4"/>
        <v>400</v>
      </c>
      <c r="G35">
        <f t="shared" si="5"/>
        <v>40</v>
      </c>
      <c r="H35">
        <f t="shared" si="5"/>
        <v>78</v>
      </c>
      <c r="I35" s="7">
        <f>F35/$F$44</f>
        <v>8.6767895878524945E-2</v>
      </c>
      <c r="J35" s="7">
        <f>G35/$G$44</f>
        <v>4.9875311720698257E-2</v>
      </c>
    </row>
    <row r="36" spans="1:10" x14ac:dyDescent="0.2">
      <c r="A36" s="2" t="s">
        <v>8</v>
      </c>
      <c r="B36" s="3">
        <v>212</v>
      </c>
      <c r="C36" s="3">
        <v>106</v>
      </c>
      <c r="D36" s="3">
        <v>106</v>
      </c>
      <c r="E36">
        <f t="shared" si="6"/>
        <v>12</v>
      </c>
      <c r="F36">
        <f t="shared" si="4"/>
        <v>212</v>
      </c>
      <c r="G36">
        <f t="shared" si="5"/>
        <v>106</v>
      </c>
      <c r="H36">
        <f t="shared" si="5"/>
        <v>106</v>
      </c>
      <c r="I36" s="7">
        <f>F36/$F$44</f>
        <v>4.598698481561822E-2</v>
      </c>
      <c r="J36" s="7">
        <f>G36/$G$44</f>
        <v>0.13216957605985039</v>
      </c>
    </row>
    <row r="37" spans="1:10" x14ac:dyDescent="0.2">
      <c r="A37" s="2" t="s">
        <v>22</v>
      </c>
      <c r="B37" s="3">
        <v>500</v>
      </c>
      <c r="C37" s="3">
        <v>50</v>
      </c>
      <c r="D37" s="3">
        <v>5</v>
      </c>
      <c r="E37">
        <f t="shared" si="6"/>
        <v>13</v>
      </c>
      <c r="F37">
        <f t="shared" si="4"/>
        <v>500</v>
      </c>
      <c r="G37">
        <f t="shared" si="5"/>
        <v>50</v>
      </c>
      <c r="H37">
        <f t="shared" si="5"/>
        <v>5</v>
      </c>
      <c r="I37" s="7">
        <f>F37/$F$44</f>
        <v>0.10845986984815618</v>
      </c>
      <c r="J37" s="7">
        <f>G37/$G$44</f>
        <v>6.2344139650872821E-2</v>
      </c>
    </row>
    <row r="38" spans="1:10" x14ac:dyDescent="0.2">
      <c r="A38" s="2" t="s">
        <v>23</v>
      </c>
      <c r="B38" s="3">
        <v>100</v>
      </c>
      <c r="C38" s="3">
        <v>10</v>
      </c>
      <c r="D38" s="3">
        <v>1</v>
      </c>
      <c r="E38">
        <f t="shared" si="6"/>
        <v>14</v>
      </c>
      <c r="F38">
        <f t="shared" si="4"/>
        <v>100</v>
      </c>
      <c r="G38">
        <f t="shared" si="5"/>
        <v>10</v>
      </c>
      <c r="H38">
        <f t="shared" si="5"/>
        <v>1</v>
      </c>
      <c r="I38" s="7">
        <f>F38/$F$44</f>
        <v>2.1691973969631236E-2</v>
      </c>
      <c r="J38" s="7">
        <f>G38/$G$44</f>
        <v>1.2468827930174564E-2</v>
      </c>
    </row>
    <row r="39" spans="1:10" x14ac:dyDescent="0.2">
      <c r="A39" s="2" t="s">
        <v>27</v>
      </c>
      <c r="B39" s="3">
        <v>100</v>
      </c>
      <c r="C39" s="3">
        <v>10</v>
      </c>
      <c r="D39" s="3">
        <v>1</v>
      </c>
      <c r="E39">
        <f t="shared" si="6"/>
        <v>15</v>
      </c>
      <c r="F39">
        <f t="shared" si="4"/>
        <v>100</v>
      </c>
      <c r="G39">
        <f t="shared" si="5"/>
        <v>10</v>
      </c>
      <c r="H39">
        <f t="shared" si="5"/>
        <v>1</v>
      </c>
      <c r="I39" s="7">
        <f>F39/$F$44</f>
        <v>2.1691973969631236E-2</v>
      </c>
      <c r="J39" s="7">
        <f>G39/$G$44</f>
        <v>1.2468827930174564E-2</v>
      </c>
    </row>
    <row r="40" spans="1:10" x14ac:dyDescent="0.2">
      <c r="A40" s="2" t="s">
        <v>25</v>
      </c>
      <c r="B40" s="3">
        <v>194</v>
      </c>
      <c r="C40" s="3">
        <v>97</v>
      </c>
      <c r="D40" s="3">
        <v>97</v>
      </c>
      <c r="E40">
        <f t="shared" si="6"/>
        <v>16</v>
      </c>
      <c r="F40">
        <f t="shared" si="4"/>
        <v>194</v>
      </c>
      <c r="G40">
        <f t="shared" si="5"/>
        <v>97</v>
      </c>
      <c r="H40">
        <f t="shared" si="5"/>
        <v>97</v>
      </c>
      <c r="I40" s="7">
        <f>F40/$F$44</f>
        <v>4.2082429501084602E-2</v>
      </c>
      <c r="J40" s="7">
        <f>G40/$G$44</f>
        <v>0.12094763092269327</v>
      </c>
    </row>
    <row r="41" spans="1:10" x14ac:dyDescent="0.2">
      <c r="A41" s="2" t="s">
        <v>13</v>
      </c>
      <c r="B41" s="3">
        <v>40</v>
      </c>
      <c r="C41" s="3">
        <v>10</v>
      </c>
      <c r="D41" s="3">
        <v>2</v>
      </c>
      <c r="E41">
        <f t="shared" si="6"/>
        <v>17</v>
      </c>
      <c r="F41">
        <f t="shared" si="4"/>
        <v>40</v>
      </c>
      <c r="G41">
        <f t="shared" si="5"/>
        <v>10</v>
      </c>
      <c r="H41">
        <f t="shared" si="5"/>
        <v>2</v>
      </c>
      <c r="I41" s="7">
        <f>F41/$F$44</f>
        <v>8.6767895878524948E-3</v>
      </c>
      <c r="J41" s="7">
        <f>G41/$G$44</f>
        <v>1.2468827930174564E-2</v>
      </c>
    </row>
    <row r="42" spans="1:10" x14ac:dyDescent="0.2">
      <c r="A42" s="2" t="s">
        <v>20</v>
      </c>
      <c r="B42" s="3">
        <v>300</v>
      </c>
      <c r="C42" s="3">
        <v>30</v>
      </c>
      <c r="D42" s="3">
        <v>3</v>
      </c>
      <c r="E42">
        <f t="shared" si="6"/>
        <v>18</v>
      </c>
      <c r="F42">
        <f t="shared" si="4"/>
        <v>300</v>
      </c>
      <c r="G42">
        <f t="shared" si="5"/>
        <v>30</v>
      </c>
      <c r="H42">
        <f t="shared" si="5"/>
        <v>3</v>
      </c>
      <c r="I42" s="7">
        <f>F42/$F$44</f>
        <v>6.5075921908893705E-2</v>
      </c>
      <c r="J42" s="7">
        <f>G42/$G$44</f>
        <v>3.7406483790523692E-2</v>
      </c>
    </row>
    <row r="43" spans="1:10" x14ac:dyDescent="0.2">
      <c r="A43" s="2" t="s">
        <v>16</v>
      </c>
      <c r="B43" s="3">
        <v>300</v>
      </c>
      <c r="C43" s="3">
        <v>30</v>
      </c>
      <c r="D43" s="3">
        <v>3</v>
      </c>
      <c r="E43">
        <f t="shared" si="6"/>
        <v>19</v>
      </c>
      <c r="F43">
        <f t="shared" si="4"/>
        <v>300</v>
      </c>
      <c r="G43">
        <f t="shared" si="5"/>
        <v>30</v>
      </c>
      <c r="H43">
        <f t="shared" si="5"/>
        <v>3</v>
      </c>
      <c r="I43" s="7">
        <f>F43/$F$44</f>
        <v>6.5075921908893705E-2</v>
      </c>
      <c r="J43" s="7">
        <f>G43/$G$44</f>
        <v>3.7406483790523692E-2</v>
      </c>
    </row>
    <row r="44" spans="1:10" x14ac:dyDescent="0.2">
      <c r="A44" s="2" t="s">
        <v>30</v>
      </c>
      <c r="B44" s="3">
        <v>4610</v>
      </c>
      <c r="C44" s="3">
        <v>802</v>
      </c>
      <c r="D44" s="3">
        <v>1005</v>
      </c>
      <c r="E44" s="8"/>
      <c r="F44" s="8">
        <f>SUM(F25:F43)</f>
        <v>4610</v>
      </c>
      <c r="G44" s="8">
        <f>SUM(G25:G43)</f>
        <v>802</v>
      </c>
      <c r="H44" s="8"/>
      <c r="I44" s="8"/>
      <c r="J44" s="8"/>
    </row>
    <row r="47" spans="1:10" x14ac:dyDescent="0.2">
      <c r="A47" s="2" t="s">
        <v>41</v>
      </c>
    </row>
    <row r="48" spans="1:10" x14ac:dyDescent="0.2">
      <c r="A48" s="1" t="s">
        <v>29</v>
      </c>
      <c r="B48" t="s">
        <v>32</v>
      </c>
      <c r="C48" t="s">
        <v>28</v>
      </c>
      <c r="D48" t="s">
        <v>31</v>
      </c>
    </row>
    <row r="49" spans="1:4" x14ac:dyDescent="0.2">
      <c r="A49" s="2">
        <v>0</v>
      </c>
      <c r="B49" s="3">
        <v>544</v>
      </c>
      <c r="C49" s="3">
        <v>544</v>
      </c>
      <c r="D49" s="3">
        <v>47</v>
      </c>
    </row>
    <row r="50" spans="1:4" x14ac:dyDescent="0.2">
      <c r="A50" s="2">
        <v>1</v>
      </c>
      <c r="B50" s="3">
        <v>422</v>
      </c>
      <c r="C50" s="3">
        <v>422</v>
      </c>
      <c r="D50" s="3">
        <v>823</v>
      </c>
    </row>
    <row r="51" spans="1:4" x14ac:dyDescent="0.2">
      <c r="A51" s="2">
        <v>5</v>
      </c>
      <c r="B51" s="3">
        <v>2</v>
      </c>
      <c r="C51" s="3">
        <v>2</v>
      </c>
      <c r="D51" s="3">
        <v>40</v>
      </c>
    </row>
    <row r="52" spans="1:4" x14ac:dyDescent="0.2">
      <c r="A52" s="2">
        <v>10</v>
      </c>
      <c r="B52" s="3">
        <v>37</v>
      </c>
      <c r="C52" s="3">
        <v>37</v>
      </c>
      <c r="D52" s="3">
        <v>3700</v>
      </c>
    </row>
    <row r="53" spans="1:4" x14ac:dyDescent="0.2">
      <c r="A53" s="2" t="s">
        <v>30</v>
      </c>
      <c r="B53" s="3">
        <v>1005</v>
      </c>
      <c r="C53" s="3">
        <v>1005</v>
      </c>
      <c r="D53" s="3">
        <v>4610</v>
      </c>
    </row>
    <row r="57" spans="1:4" x14ac:dyDescent="0.2">
      <c r="A57" s="1" t="s">
        <v>29</v>
      </c>
      <c r="B57" t="s">
        <v>32</v>
      </c>
      <c r="C57" t="s">
        <v>28</v>
      </c>
      <c r="D57" t="s">
        <v>42</v>
      </c>
    </row>
    <row r="58" spans="1:4" x14ac:dyDescent="0.2">
      <c r="A58" s="2">
        <v>0</v>
      </c>
      <c r="B58" s="3">
        <v>497</v>
      </c>
      <c r="C58" s="3">
        <v>497</v>
      </c>
      <c r="D58" s="3">
        <v>0</v>
      </c>
    </row>
    <row r="59" spans="1:4" x14ac:dyDescent="0.2">
      <c r="A59" s="2">
        <v>1</v>
      </c>
      <c r="B59" s="3">
        <v>68</v>
      </c>
      <c r="C59" s="3">
        <v>68</v>
      </c>
      <c r="D59" s="3">
        <v>0.30882352941176472</v>
      </c>
    </row>
    <row r="60" spans="1:4" x14ac:dyDescent="0.2">
      <c r="A60" s="2">
        <v>2</v>
      </c>
      <c r="B60" s="3">
        <v>401</v>
      </c>
      <c r="C60" s="3">
        <v>401</v>
      </c>
      <c r="D60" s="3">
        <v>1</v>
      </c>
    </row>
    <row r="61" spans="1:4" x14ac:dyDescent="0.2">
      <c r="A61" s="2">
        <v>20</v>
      </c>
      <c r="B61" s="3">
        <v>2</v>
      </c>
      <c r="C61" s="3">
        <v>2</v>
      </c>
      <c r="D61" s="3">
        <v>5</v>
      </c>
    </row>
    <row r="62" spans="1:4" x14ac:dyDescent="0.2">
      <c r="A62" s="2">
        <v>100</v>
      </c>
      <c r="B62" s="3">
        <v>37</v>
      </c>
      <c r="C62" s="3">
        <v>37</v>
      </c>
      <c r="D62" s="3">
        <v>10</v>
      </c>
    </row>
    <row r="63" spans="1:4" x14ac:dyDescent="0.2">
      <c r="A63" s="2" t="s">
        <v>30</v>
      </c>
      <c r="B63" s="3">
        <v>1005</v>
      </c>
      <c r="C63" s="3">
        <v>1005</v>
      </c>
      <c r="D63" s="3">
        <v>0.79800995024875621</v>
      </c>
    </row>
    <row r="65" spans="1:4" x14ac:dyDescent="0.2">
      <c r="A65" s="1" t="s">
        <v>29</v>
      </c>
      <c r="B65" t="s">
        <v>32</v>
      </c>
      <c r="C65" t="s">
        <v>28</v>
      </c>
      <c r="D65" t="s">
        <v>34</v>
      </c>
    </row>
    <row r="66" spans="1:4" x14ac:dyDescent="0.2">
      <c r="A66" s="2">
        <v>1</v>
      </c>
      <c r="B66" s="3">
        <v>422</v>
      </c>
      <c r="C66" s="3">
        <v>422</v>
      </c>
      <c r="D66" s="3">
        <v>1.9502369668246446</v>
      </c>
    </row>
    <row r="67" spans="1:4" x14ac:dyDescent="0.2">
      <c r="A67" s="2">
        <v>5</v>
      </c>
      <c r="B67" s="3">
        <v>2</v>
      </c>
      <c r="C67" s="3">
        <v>2</v>
      </c>
      <c r="D67" s="3">
        <v>20</v>
      </c>
    </row>
    <row r="68" spans="1:4" x14ac:dyDescent="0.2">
      <c r="A68" s="2">
        <v>10</v>
      </c>
      <c r="B68" s="3">
        <v>37</v>
      </c>
      <c r="C68" s="3">
        <v>37</v>
      </c>
      <c r="D68" s="3">
        <v>100</v>
      </c>
    </row>
    <row r="69" spans="1:4" x14ac:dyDescent="0.2">
      <c r="A69" s="2" t="s">
        <v>30</v>
      </c>
      <c r="B69" s="3">
        <v>461</v>
      </c>
      <c r="C69" s="3">
        <v>461</v>
      </c>
      <c r="D69" s="3">
        <v>9.8980477223427332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coda_transactions</vt:lpstr>
      <vt:lpstr>Pivot Tables</vt:lpstr>
      <vt:lpstr>Chart (split by amount transfer</vt:lpstr>
      <vt:lpstr>Chart2 (% split by fees0</vt:lpstr>
      <vt:lpstr>sender accounts</vt:lpstr>
      <vt:lpstr>Receiver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2019-11-02T19:54:39Z</dcterms:created>
  <dcterms:modified xsi:type="dcterms:W3CDTF">2019-11-03T03:46:08Z</dcterms:modified>
</cp:coreProperties>
</file>